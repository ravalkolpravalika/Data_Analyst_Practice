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aval\Downloads\"/>
    </mc:Choice>
  </mc:AlternateContent>
  <xr:revisionPtr revIDLastSave="0" documentId="8_{997E4113-16B4-4AC1-8875-F21C4BC5C497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Tasks" sheetId="2" r:id="rId1"/>
    <sheet name="Store Master" sheetId="3" r:id="rId2"/>
    <sheet name="Pivot Table" sheetId="8" r:id="rId3"/>
    <sheet name="Sales Data" sheetId="4" r:id="rId4"/>
    <sheet name="Purchase Data" sheetId="5" r:id="rId5"/>
    <sheet name="Messy Data" sheetId="6" r:id="rId6"/>
  </sheets>
  <calcPr calcId="191029" iterateDelta="1E-4"/>
  <pivotCaches>
    <pivotCache cacheId="0" r:id="rId7"/>
  </pivotCaches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7" i="2" l="1"/>
  <c r="K14" i="3"/>
  <c r="J14" i="3"/>
  <c r="L14" i="3" s="1"/>
  <c r="L11" i="3"/>
  <c r="L12" i="3"/>
  <c r="L13" i="3"/>
  <c r="L10" i="3"/>
  <c r="K11" i="3"/>
  <c r="K12" i="3"/>
  <c r="K13" i="3"/>
  <c r="K10" i="3"/>
  <c r="J11" i="3"/>
  <c r="J12" i="3"/>
  <c r="J13" i="3"/>
  <c r="J10" i="3"/>
  <c r="E3" i="3"/>
  <c r="E4" i="3"/>
  <c r="E5" i="3"/>
  <c r="E6" i="3"/>
  <c r="E7" i="3"/>
  <c r="E2" i="3"/>
  <c r="E8" i="3" s="1"/>
  <c r="K3" i="3"/>
  <c r="K4" i="3"/>
  <c r="K2" i="3"/>
  <c r="E11" i="2"/>
  <c r="E10" i="2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" i="4"/>
  <c r="E6" i="2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2" i="5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" i="4"/>
  <c r="E9" i="3" l="1"/>
  <c r="G2" i="3"/>
</calcChain>
</file>

<file path=xl/sharedStrings.xml><?xml version="1.0" encoding="utf-8"?>
<sst xmlns="http://schemas.openxmlformats.org/spreadsheetml/2006/main" count="743" uniqueCount="118">
  <si>
    <t>#</t>
  </si>
  <si>
    <t>Task</t>
  </si>
  <si>
    <t>Sheet</t>
  </si>
  <si>
    <t>Hint (functions)</t>
  </si>
  <si>
    <t>Your Answer</t>
  </si>
  <si>
    <t>Calculate Net Sales for every row (Qty x Unit Price x (1 - Discount)).</t>
  </si>
  <si>
    <t>Sales Data (col G)</t>
  </si>
  <si>
    <t>Basic formula, fill down</t>
  </si>
  <si>
    <t>Fetch the City for every row using Store ID.</t>
  </si>
  <si>
    <t>Sales Data (col H)</t>
  </si>
  <si>
    <t>VLOOKUP or INDEX/MATCH</t>
  </si>
  <si>
    <t>Flag rows with discount above 20% as 'Yes', else 'No'.</t>
  </si>
  <si>
    <t>Sales Data (col I)</t>
  </si>
  <si>
    <t>IF</t>
  </si>
  <si>
    <t>Calculate Purchase Value for every purchase row.</t>
  </si>
  <si>
    <t>Purchase Data (col G)</t>
  </si>
  <si>
    <t>Qty x Cost Price</t>
  </si>
  <si>
    <t>What is the total net sales?</t>
  </si>
  <si>
    <t>Sales Data</t>
  </si>
  <si>
    <t>SUM</t>
  </si>
  <si>
    <t>What is the average net sales per transaction?</t>
  </si>
  <si>
    <t>AVERAGE</t>
  </si>
  <si>
    <t>Net sales for each store (S01 to S06). Which store is the top performer?</t>
  </si>
  <si>
    <t>SUMIFS, MAX, INDEX/MATCH</t>
  </si>
  <si>
    <t>Month-wise net sales for Aug, Sep and Oct 2026.</t>
  </si>
  <si>
    <t>Pivot table (group by month) or SUMIFS with dates</t>
  </si>
  <si>
    <t>How many transactions had a discount above 20%?</t>
  </si>
  <si>
    <t>COUNTIF</t>
  </si>
  <si>
    <t>Total value of purchases not yet received.</t>
  </si>
  <si>
    <t>Purchase Data</t>
  </si>
  <si>
    <t>SUMIFS</t>
  </si>
  <si>
    <t>Category-wise stock balance = received purchase qty - sold qty.</t>
  </si>
  <si>
    <t>Both sheets</t>
  </si>
  <si>
    <t>Build a pivot table: Store (rows) x Category (columns), values = Net Sales.</t>
  </si>
  <si>
    <t>Insert &gt; PivotTable</t>
  </si>
  <si>
    <t>Highlight stores with net sales below the average of all stores.</t>
  </si>
  <si>
    <t>Your store summary</t>
  </si>
  <si>
    <t>Conditional Formatting</t>
  </si>
  <si>
    <t>Clean the Messy Data sheet: remove extra spaces, proper case names and cities, remove duplicates.</t>
  </si>
  <si>
    <t>Messy Data</t>
  </si>
  <si>
    <t>TRIM, PROPER, Remove Duplicates</t>
  </si>
  <si>
    <t>Store ID</t>
  </si>
  <si>
    <t>City</t>
  </si>
  <si>
    <t>State</t>
  </si>
  <si>
    <t>Manager</t>
  </si>
  <si>
    <t>S01</t>
  </si>
  <si>
    <t>Hyderabad</t>
  </si>
  <si>
    <t>Telangana</t>
  </si>
  <si>
    <t>Ravi Kumar</t>
  </si>
  <si>
    <t>S02</t>
  </si>
  <si>
    <t>Vijayawada</t>
  </si>
  <si>
    <t>Andhra Pradesh</t>
  </si>
  <si>
    <t>Sneha Reddy</t>
  </si>
  <si>
    <t>S03</t>
  </si>
  <si>
    <t>Visakhapatnam</t>
  </si>
  <si>
    <t>Anil Varma</t>
  </si>
  <si>
    <t>S04</t>
  </si>
  <si>
    <t>Bengaluru</t>
  </si>
  <si>
    <t>Karnataka</t>
  </si>
  <si>
    <t>Meena Iyer</t>
  </si>
  <si>
    <t>S05</t>
  </si>
  <si>
    <t>Chennai</t>
  </si>
  <si>
    <t>Tamil Nadu</t>
  </si>
  <si>
    <t>Karthik Raj</t>
  </si>
  <si>
    <t>S06</t>
  </si>
  <si>
    <t>Warangal</t>
  </si>
  <si>
    <t>Lakshmi Devi</t>
  </si>
  <si>
    <t>Date</t>
  </si>
  <si>
    <t>Category</t>
  </si>
  <si>
    <t>Qty</t>
  </si>
  <si>
    <t>Unit Price</t>
  </si>
  <si>
    <t>Discount %</t>
  </si>
  <si>
    <t>Net Sales</t>
  </si>
  <si>
    <t>High Discount?</t>
  </si>
  <si>
    <t>Kids Wear</t>
  </si>
  <si>
    <t>Menswear</t>
  </si>
  <si>
    <t>Dress Material</t>
  </si>
  <si>
    <t>Lehenga</t>
  </si>
  <si>
    <t>Silk Saree</t>
  </si>
  <si>
    <t>Supplier</t>
  </si>
  <si>
    <t>Cost Price</t>
  </si>
  <si>
    <t>Received?</t>
  </si>
  <si>
    <t>Purchase Value</t>
  </si>
  <si>
    <t>Surat Textiles</t>
  </si>
  <si>
    <t>Yes</t>
  </si>
  <si>
    <t>Banaras Looms</t>
  </si>
  <si>
    <t>Pochampally Co-op</t>
  </si>
  <si>
    <t>Mysore Silks</t>
  </si>
  <si>
    <t>No</t>
  </si>
  <si>
    <t>Ludhiana Garments</t>
  </si>
  <si>
    <t>Kanchi Weavers</t>
  </si>
  <si>
    <t>Customer Name</t>
  </si>
  <si>
    <t>Phone</t>
  </si>
  <si>
    <t>Amount</t>
  </si>
  <si>
    <t>98480 12345</t>
  </si>
  <si>
    <t>9848012346</t>
  </si>
  <si>
    <t>9848012347</t>
  </si>
  <si>
    <t>9848012349</t>
  </si>
  <si>
    <t>9848012350</t>
  </si>
  <si>
    <t>9848012351</t>
  </si>
  <si>
    <t>9848012353</t>
  </si>
  <si>
    <t>9848012354</t>
  </si>
  <si>
    <t>Month</t>
  </si>
  <si>
    <t>Done</t>
  </si>
  <si>
    <t>month</t>
  </si>
  <si>
    <t>net sales</t>
  </si>
  <si>
    <t>August</t>
  </si>
  <si>
    <t>September</t>
  </si>
  <si>
    <t>October</t>
  </si>
  <si>
    <t>Grand Total</t>
  </si>
  <si>
    <t>Sum of Net Sales</t>
  </si>
  <si>
    <t>Stores</t>
  </si>
  <si>
    <t>Priya Sharma</t>
  </si>
  <si>
    <t>Ramesh Babu</t>
  </si>
  <si>
    <t>average netsales</t>
  </si>
  <si>
    <t>Received purchase</t>
  </si>
  <si>
    <t>sold quantity</t>
  </si>
  <si>
    <t>Stock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</si>
</sst>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8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1"/>
      <color theme="1"/>
      <name val="Calibri"/>
      <family val="2"/>
    </font>
    <font>
      <sz val="10"/>
      <name val="Arial"/>
      <family val="2"/>
    </font>
    <font>
      <b/>
      <sz val="11"/>
      <color rgb="FFFFFFFF"/>
      <name val="Arial"/>
      <family val="2"/>
    </font>
    <font>
      <sz val="8"/>
      <name val="Calibri"/>
      <family val="2"/>
      <charset val="1"/>
    </font>
    <font>
      <b/>
      <sz val="11"/>
      <color theme="1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1F3864"/>
        <bgColor rgb="FF333333"/>
      </patternFill>
    </fill>
    <fill>
      <patternFill patternType="solid">
        <fgColor rgb="FFBF8F00"/>
        <bgColor rgb="FF808000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rgb="FFBFBFBF"/>
      </left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2" fillId="0" borderId="1" xfId="0" applyFont="1" applyBorder="1" applyAlignment="1">
      <alignment vertical="top" wrapText="1"/>
    </xf>
    <xf numFmtId="0" fontId="2" fillId="2" borderId="1" xfId="0" applyFont="1" applyFill="1" applyBorder="1"/>
    <xf numFmtId="0" fontId="1" fillId="4" borderId="1" xfId="0" applyFont="1" applyFill="1" applyBorder="1" applyAlignment="1">
      <alignment horizontal="center" vertical="center" wrapText="1"/>
    </xf>
    <xf numFmtId="164" fontId="2" fillId="0" borderId="1" xfId="0" applyNumberFormat="1" applyFont="1" applyBorder="1"/>
    <xf numFmtId="3" fontId="2" fillId="0" borderId="1" xfId="0" applyNumberFormat="1" applyFont="1" applyBorder="1"/>
    <xf numFmtId="9" fontId="2" fillId="0" borderId="1" xfId="0" applyNumberFormat="1" applyFont="1" applyBorder="1"/>
    <xf numFmtId="3" fontId="2" fillId="2" borderId="1" xfId="0" applyNumberFormat="1" applyFont="1" applyFill="1" applyBorder="1"/>
    <xf numFmtId="0" fontId="3" fillId="0" borderId="0" xfId="0" applyFont="1"/>
    <xf numFmtId="0" fontId="4" fillId="2" borderId="1" xfId="0" applyFont="1" applyFill="1" applyBorder="1"/>
    <xf numFmtId="0" fontId="5" fillId="4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7" fillId="5" borderId="3" xfId="0" applyFont="1" applyFill="1" applyBorder="1"/>
    <xf numFmtId="3" fontId="0" fillId="0" borderId="0" xfId="0" applyNumberFormat="1"/>
    <xf numFmtId="0" fontId="1" fillId="3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BF8F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rshitha Ravalkol" refreshedDate="46310.955437384262" createdVersion="8" refreshedVersion="8" minRefreshableVersion="3" recordCount="200" xr:uid="{42401B3B-1AFA-415A-BFC5-1B6244E332CB}">
  <cacheSource type="worksheet">
    <worksheetSource ref="A1:J201" sheet="Sales Data"/>
  </cacheSource>
  <cacheFields count="10">
    <cacheField name="Date" numFmtId="164">
      <sharedItems containsSemiMixedTypes="0" containsNonDate="0" containsDate="1" containsString="0" minDate="2026-08-01T00:00:00" maxDate="2026-10-14T00:00:00"/>
    </cacheField>
    <cacheField name="Store ID" numFmtId="0">
      <sharedItems count="6">
        <s v="S06"/>
        <s v="S04"/>
        <s v="S03"/>
        <s v="S05"/>
        <s v="S01"/>
        <s v="S02"/>
      </sharedItems>
    </cacheField>
    <cacheField name="Category" numFmtId="0">
      <sharedItems count="5">
        <s v="Kids Wear"/>
        <s v="Menswear"/>
        <s v="Dress Material"/>
        <s v="Lehenga"/>
        <s v="Silk Saree"/>
      </sharedItems>
    </cacheField>
    <cacheField name="Qty" numFmtId="0">
      <sharedItems containsSemiMixedTypes="0" containsString="0" containsNumber="1" containsInteger="1" minValue="1" maxValue="3"/>
    </cacheField>
    <cacheField name="Unit Price" numFmtId="3">
      <sharedItems containsSemiMixedTypes="0" containsString="0" containsNumber="1" containsInteger="1" minValue="900" maxValue="33200"/>
    </cacheField>
    <cacheField name="Discount %" numFmtId="9">
      <sharedItems containsSemiMixedTypes="0" containsString="0" containsNumber="1" minValue="0" maxValue="0.3"/>
    </cacheField>
    <cacheField name="Net Sales" numFmtId="3">
      <sharedItems containsSemiMixedTypes="0" containsString="0" containsNumber="1" minValue="787.5" maxValue="89235"/>
    </cacheField>
    <cacheField name="City" numFmtId="0">
      <sharedItems/>
    </cacheField>
    <cacheField name="High Discount?" numFmtId="0">
      <sharedItems/>
    </cacheField>
    <cacheField name="month" numFmtId="0">
      <sharedItems containsSemiMixedTypes="0" containsString="0" containsNumber="1" containsInteger="1" minValue="8" maxValue="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d v="2026-08-01T00:00:00"/>
    <x v="0"/>
    <x v="0"/>
    <n v="1"/>
    <n v="2850"/>
    <n v="0.3"/>
    <n v="1994.9999999999998"/>
    <s v="Warangal"/>
    <s v="Yes"/>
    <n v="8"/>
  </r>
  <r>
    <d v="2026-08-01T00:00:00"/>
    <x v="1"/>
    <x v="1"/>
    <n v="2"/>
    <n v="5350"/>
    <n v="0"/>
    <n v="10700"/>
    <s v="Bengaluru"/>
    <s v="No"/>
    <n v="8"/>
  </r>
  <r>
    <d v="2026-08-01T00:00:00"/>
    <x v="0"/>
    <x v="2"/>
    <n v="2"/>
    <n v="2800"/>
    <n v="0"/>
    <n v="5600"/>
    <s v="Warangal"/>
    <s v="No"/>
    <n v="8"/>
  </r>
  <r>
    <d v="2026-08-01T00:00:00"/>
    <x v="2"/>
    <x v="0"/>
    <n v="3"/>
    <n v="3200"/>
    <n v="0.25"/>
    <n v="7200"/>
    <s v="Visakhapatnam"/>
    <s v="Yes"/>
    <n v="8"/>
  </r>
  <r>
    <d v="2026-08-02T00:00:00"/>
    <x v="1"/>
    <x v="2"/>
    <n v="1"/>
    <n v="3200"/>
    <n v="0"/>
    <n v="3200"/>
    <s v="Bengaluru"/>
    <s v="No"/>
    <n v="8"/>
  </r>
  <r>
    <d v="2026-08-02T00:00:00"/>
    <x v="0"/>
    <x v="2"/>
    <n v="3"/>
    <n v="2150"/>
    <n v="0"/>
    <n v="6450"/>
    <s v="Warangal"/>
    <s v="No"/>
    <n v="8"/>
  </r>
  <r>
    <d v="2026-08-04T00:00:00"/>
    <x v="3"/>
    <x v="3"/>
    <n v="3"/>
    <n v="32450"/>
    <n v="0.3"/>
    <n v="68145"/>
    <s v="Chennai"/>
    <s v="Yes"/>
    <n v="8"/>
  </r>
  <r>
    <d v="2026-08-04T00:00:00"/>
    <x v="4"/>
    <x v="3"/>
    <n v="3"/>
    <n v="24550"/>
    <n v="0"/>
    <n v="73650"/>
    <s v="Hyderabad"/>
    <s v="No"/>
    <n v="8"/>
  </r>
  <r>
    <d v="2026-08-04T00:00:00"/>
    <x v="1"/>
    <x v="0"/>
    <n v="3"/>
    <n v="2450"/>
    <n v="0.05"/>
    <n v="6982.5"/>
    <s v="Bengaluru"/>
    <s v="No"/>
    <n v="8"/>
  </r>
  <r>
    <d v="2026-08-04T00:00:00"/>
    <x v="1"/>
    <x v="0"/>
    <n v="2"/>
    <n v="1550"/>
    <n v="0.1"/>
    <n v="2790"/>
    <s v="Bengaluru"/>
    <s v="No"/>
    <n v="8"/>
  </r>
  <r>
    <d v="2026-08-04T00:00:00"/>
    <x v="4"/>
    <x v="0"/>
    <n v="2"/>
    <n v="1050"/>
    <n v="0.15"/>
    <n v="1785"/>
    <s v="Hyderabad"/>
    <s v="No"/>
    <n v="8"/>
  </r>
  <r>
    <d v="2026-08-05T00:00:00"/>
    <x v="4"/>
    <x v="4"/>
    <n v="1"/>
    <n v="8100"/>
    <n v="0.3"/>
    <n v="5670"/>
    <s v="Hyderabad"/>
    <s v="Yes"/>
    <n v="8"/>
  </r>
  <r>
    <d v="2026-08-06T00:00:00"/>
    <x v="2"/>
    <x v="3"/>
    <n v="1"/>
    <n v="31350"/>
    <n v="0"/>
    <n v="31350"/>
    <s v="Visakhapatnam"/>
    <s v="No"/>
    <n v="8"/>
  </r>
  <r>
    <d v="2026-08-06T00:00:00"/>
    <x v="4"/>
    <x v="3"/>
    <n v="1"/>
    <n v="15550"/>
    <n v="0.05"/>
    <n v="14772.5"/>
    <s v="Hyderabad"/>
    <s v="No"/>
    <n v="8"/>
  </r>
  <r>
    <d v="2026-08-06T00:00:00"/>
    <x v="1"/>
    <x v="0"/>
    <n v="2"/>
    <n v="3250"/>
    <n v="0"/>
    <n v="6500"/>
    <s v="Bengaluru"/>
    <s v="No"/>
    <n v="8"/>
  </r>
  <r>
    <d v="2026-08-07T00:00:00"/>
    <x v="4"/>
    <x v="3"/>
    <n v="1"/>
    <n v="29550"/>
    <n v="0.2"/>
    <n v="23640"/>
    <s v="Hyderabad"/>
    <s v="No"/>
    <n v="8"/>
  </r>
  <r>
    <d v="2026-08-07T00:00:00"/>
    <x v="4"/>
    <x v="1"/>
    <n v="1"/>
    <n v="3750"/>
    <n v="0"/>
    <n v="3750"/>
    <s v="Hyderabad"/>
    <s v="No"/>
    <n v="8"/>
  </r>
  <r>
    <d v="2026-08-07T00:00:00"/>
    <x v="5"/>
    <x v="0"/>
    <n v="1"/>
    <n v="3050"/>
    <n v="0.1"/>
    <n v="2745"/>
    <s v="Vijayawada"/>
    <s v="No"/>
    <n v="8"/>
  </r>
  <r>
    <d v="2026-08-08T00:00:00"/>
    <x v="5"/>
    <x v="4"/>
    <n v="2"/>
    <n v="17700"/>
    <n v="0.2"/>
    <n v="28320"/>
    <s v="Vijayawada"/>
    <s v="No"/>
    <n v="8"/>
  </r>
  <r>
    <d v="2026-08-08T00:00:00"/>
    <x v="1"/>
    <x v="0"/>
    <n v="1"/>
    <n v="1250"/>
    <n v="0.1"/>
    <n v="1125"/>
    <s v="Bengaluru"/>
    <s v="No"/>
    <n v="8"/>
  </r>
  <r>
    <d v="2026-08-08T00:00:00"/>
    <x v="5"/>
    <x v="1"/>
    <n v="2"/>
    <n v="1500"/>
    <n v="0.1"/>
    <n v="2700"/>
    <s v="Vijayawada"/>
    <s v="No"/>
    <n v="8"/>
  </r>
  <r>
    <d v="2026-08-08T00:00:00"/>
    <x v="0"/>
    <x v="0"/>
    <n v="1"/>
    <n v="1050"/>
    <n v="0.25"/>
    <n v="787.5"/>
    <s v="Warangal"/>
    <s v="Yes"/>
    <n v="8"/>
  </r>
  <r>
    <d v="2026-08-08T00:00:00"/>
    <x v="5"/>
    <x v="1"/>
    <n v="3"/>
    <n v="4700"/>
    <n v="0"/>
    <n v="14100"/>
    <s v="Vijayawada"/>
    <s v="No"/>
    <n v="8"/>
  </r>
  <r>
    <d v="2026-08-09T00:00:00"/>
    <x v="1"/>
    <x v="1"/>
    <n v="3"/>
    <n v="5350"/>
    <n v="0.1"/>
    <n v="14445"/>
    <s v="Bengaluru"/>
    <s v="No"/>
    <n v="8"/>
  </r>
  <r>
    <d v="2026-08-09T00:00:00"/>
    <x v="5"/>
    <x v="0"/>
    <n v="1"/>
    <n v="1950"/>
    <n v="0.25"/>
    <n v="1462.5"/>
    <s v="Vijayawada"/>
    <s v="Yes"/>
    <n v="8"/>
  </r>
  <r>
    <d v="2026-08-09T00:00:00"/>
    <x v="2"/>
    <x v="1"/>
    <n v="3"/>
    <n v="4300"/>
    <n v="0.1"/>
    <n v="11610"/>
    <s v="Visakhapatnam"/>
    <s v="No"/>
    <n v="8"/>
  </r>
  <r>
    <d v="2026-08-10T00:00:00"/>
    <x v="0"/>
    <x v="0"/>
    <n v="2"/>
    <n v="1750"/>
    <n v="0.15"/>
    <n v="2975"/>
    <s v="Warangal"/>
    <s v="No"/>
    <n v="8"/>
  </r>
  <r>
    <d v="2026-08-10T00:00:00"/>
    <x v="3"/>
    <x v="3"/>
    <n v="3"/>
    <n v="12350"/>
    <n v="0.1"/>
    <n v="33345"/>
    <s v="Chennai"/>
    <s v="No"/>
    <n v="8"/>
  </r>
  <r>
    <d v="2026-08-11T00:00:00"/>
    <x v="3"/>
    <x v="0"/>
    <n v="3"/>
    <n v="3350"/>
    <n v="0.15"/>
    <n v="8542.5"/>
    <s v="Chennai"/>
    <s v="No"/>
    <n v="8"/>
  </r>
  <r>
    <d v="2026-08-11T00:00:00"/>
    <x v="1"/>
    <x v="2"/>
    <n v="3"/>
    <n v="3200"/>
    <n v="0.15"/>
    <n v="8160"/>
    <s v="Bengaluru"/>
    <s v="No"/>
    <n v="8"/>
  </r>
  <r>
    <d v="2026-08-11T00:00:00"/>
    <x v="2"/>
    <x v="2"/>
    <n v="3"/>
    <n v="3600"/>
    <n v="0.15"/>
    <n v="9180"/>
    <s v="Visakhapatnam"/>
    <s v="No"/>
    <n v="8"/>
  </r>
  <r>
    <d v="2026-08-12T00:00:00"/>
    <x v="5"/>
    <x v="0"/>
    <n v="1"/>
    <n v="1700"/>
    <n v="0.05"/>
    <n v="1615"/>
    <s v="Vijayawada"/>
    <s v="No"/>
    <n v="8"/>
  </r>
  <r>
    <d v="2026-08-12T00:00:00"/>
    <x v="5"/>
    <x v="2"/>
    <n v="1"/>
    <n v="3300"/>
    <n v="0.1"/>
    <n v="2970"/>
    <s v="Vijayawada"/>
    <s v="No"/>
    <n v="8"/>
  </r>
  <r>
    <d v="2026-08-12T00:00:00"/>
    <x v="1"/>
    <x v="0"/>
    <n v="2"/>
    <n v="2450"/>
    <n v="0.15"/>
    <n v="4165"/>
    <s v="Bengaluru"/>
    <s v="No"/>
    <n v="8"/>
  </r>
  <r>
    <d v="2026-08-12T00:00:00"/>
    <x v="5"/>
    <x v="4"/>
    <n v="1"/>
    <n v="12050"/>
    <n v="0.05"/>
    <n v="11447.5"/>
    <s v="Vijayawada"/>
    <s v="No"/>
    <n v="8"/>
  </r>
  <r>
    <d v="2026-08-13T00:00:00"/>
    <x v="4"/>
    <x v="2"/>
    <n v="1"/>
    <n v="950"/>
    <n v="0.1"/>
    <n v="855"/>
    <s v="Hyderabad"/>
    <s v="No"/>
    <n v="8"/>
  </r>
  <r>
    <d v="2026-08-13T00:00:00"/>
    <x v="1"/>
    <x v="4"/>
    <n v="2"/>
    <n v="13100"/>
    <n v="0"/>
    <n v="26200"/>
    <s v="Bengaluru"/>
    <s v="No"/>
    <n v="8"/>
  </r>
  <r>
    <d v="2026-08-13T00:00:00"/>
    <x v="0"/>
    <x v="4"/>
    <n v="2"/>
    <n v="9550"/>
    <n v="0"/>
    <n v="19100"/>
    <s v="Warangal"/>
    <s v="No"/>
    <n v="8"/>
  </r>
  <r>
    <d v="2026-08-14T00:00:00"/>
    <x v="0"/>
    <x v="2"/>
    <n v="3"/>
    <n v="1250"/>
    <n v="0.2"/>
    <n v="3000"/>
    <s v="Warangal"/>
    <s v="No"/>
    <n v="8"/>
  </r>
  <r>
    <d v="2026-08-14T00:00:00"/>
    <x v="4"/>
    <x v="1"/>
    <n v="2"/>
    <n v="2300"/>
    <n v="0.15"/>
    <n v="3910"/>
    <s v="Hyderabad"/>
    <s v="No"/>
    <n v="8"/>
  </r>
  <r>
    <d v="2026-08-14T00:00:00"/>
    <x v="0"/>
    <x v="0"/>
    <n v="3"/>
    <n v="3400"/>
    <n v="0.1"/>
    <n v="9180"/>
    <s v="Warangal"/>
    <s v="No"/>
    <n v="8"/>
  </r>
  <r>
    <d v="2026-08-14T00:00:00"/>
    <x v="1"/>
    <x v="3"/>
    <n v="3"/>
    <n v="14750"/>
    <n v="0.3"/>
    <n v="30974.999999999996"/>
    <s v="Bengaluru"/>
    <s v="Yes"/>
    <n v="8"/>
  </r>
  <r>
    <d v="2026-08-14T00:00:00"/>
    <x v="5"/>
    <x v="0"/>
    <n v="3"/>
    <n v="2500"/>
    <n v="0.25"/>
    <n v="5625"/>
    <s v="Vijayawada"/>
    <s v="Yes"/>
    <n v="8"/>
  </r>
  <r>
    <d v="2026-08-15T00:00:00"/>
    <x v="4"/>
    <x v="0"/>
    <n v="1"/>
    <n v="1800"/>
    <n v="0.05"/>
    <n v="1710"/>
    <s v="Hyderabad"/>
    <s v="No"/>
    <n v="8"/>
  </r>
  <r>
    <d v="2026-08-15T00:00:00"/>
    <x v="1"/>
    <x v="2"/>
    <n v="2"/>
    <n v="1700"/>
    <n v="0"/>
    <n v="3400"/>
    <s v="Bengaluru"/>
    <s v="No"/>
    <n v="8"/>
  </r>
  <r>
    <d v="2026-08-15T00:00:00"/>
    <x v="3"/>
    <x v="3"/>
    <n v="1"/>
    <n v="30200"/>
    <n v="0.1"/>
    <n v="27180"/>
    <s v="Chennai"/>
    <s v="No"/>
    <n v="8"/>
  </r>
  <r>
    <d v="2026-08-16T00:00:00"/>
    <x v="0"/>
    <x v="0"/>
    <n v="2"/>
    <n v="2900"/>
    <n v="0.2"/>
    <n v="4640"/>
    <s v="Warangal"/>
    <s v="No"/>
    <n v="8"/>
  </r>
  <r>
    <d v="2026-08-16T00:00:00"/>
    <x v="3"/>
    <x v="4"/>
    <n v="3"/>
    <n v="10200"/>
    <n v="0.2"/>
    <n v="24480"/>
    <s v="Chennai"/>
    <s v="No"/>
    <n v="8"/>
  </r>
  <r>
    <d v="2026-08-16T00:00:00"/>
    <x v="3"/>
    <x v="1"/>
    <n v="3"/>
    <n v="3350"/>
    <n v="0.2"/>
    <n v="8040"/>
    <s v="Chennai"/>
    <s v="No"/>
    <n v="8"/>
  </r>
  <r>
    <d v="2026-08-17T00:00:00"/>
    <x v="0"/>
    <x v="0"/>
    <n v="2"/>
    <n v="2650"/>
    <n v="0"/>
    <n v="5300"/>
    <s v="Warangal"/>
    <s v="No"/>
    <n v="8"/>
  </r>
  <r>
    <d v="2026-08-17T00:00:00"/>
    <x v="2"/>
    <x v="4"/>
    <n v="3"/>
    <n v="5400"/>
    <n v="0.1"/>
    <n v="14580"/>
    <s v="Visakhapatnam"/>
    <s v="No"/>
    <n v="8"/>
  </r>
  <r>
    <d v="2026-08-17T00:00:00"/>
    <x v="0"/>
    <x v="1"/>
    <n v="1"/>
    <n v="2350"/>
    <n v="0.1"/>
    <n v="2115"/>
    <s v="Warangal"/>
    <s v="No"/>
    <n v="8"/>
  </r>
  <r>
    <d v="2026-08-18T00:00:00"/>
    <x v="2"/>
    <x v="4"/>
    <n v="3"/>
    <n v="6250"/>
    <n v="0.3"/>
    <n v="13125"/>
    <s v="Visakhapatnam"/>
    <s v="Yes"/>
    <n v="8"/>
  </r>
  <r>
    <d v="2026-08-18T00:00:00"/>
    <x v="1"/>
    <x v="2"/>
    <n v="3"/>
    <n v="3200"/>
    <n v="0.15"/>
    <n v="8160"/>
    <s v="Bengaluru"/>
    <s v="No"/>
    <n v="8"/>
  </r>
  <r>
    <d v="2026-08-18T00:00:00"/>
    <x v="1"/>
    <x v="3"/>
    <n v="2"/>
    <n v="10650"/>
    <n v="0.2"/>
    <n v="17040"/>
    <s v="Bengaluru"/>
    <s v="No"/>
    <n v="8"/>
  </r>
  <r>
    <d v="2026-08-19T00:00:00"/>
    <x v="2"/>
    <x v="3"/>
    <n v="3"/>
    <n v="17100"/>
    <n v="0.3"/>
    <n v="35910"/>
    <s v="Visakhapatnam"/>
    <s v="Yes"/>
    <n v="8"/>
  </r>
  <r>
    <d v="2026-08-19T00:00:00"/>
    <x v="1"/>
    <x v="3"/>
    <n v="2"/>
    <n v="10350"/>
    <n v="0.15"/>
    <n v="17595"/>
    <s v="Bengaluru"/>
    <s v="No"/>
    <n v="8"/>
  </r>
  <r>
    <d v="2026-08-19T00:00:00"/>
    <x v="4"/>
    <x v="4"/>
    <n v="2"/>
    <n v="7200"/>
    <n v="0.1"/>
    <n v="12960"/>
    <s v="Hyderabad"/>
    <s v="No"/>
    <n v="8"/>
  </r>
  <r>
    <d v="2026-08-19T00:00:00"/>
    <x v="1"/>
    <x v="3"/>
    <n v="3"/>
    <n v="28650"/>
    <n v="0.05"/>
    <n v="81652.5"/>
    <s v="Bengaluru"/>
    <s v="No"/>
    <n v="8"/>
  </r>
  <r>
    <d v="2026-08-19T00:00:00"/>
    <x v="1"/>
    <x v="3"/>
    <n v="2"/>
    <n v="11450"/>
    <n v="0.1"/>
    <n v="20610"/>
    <s v="Bengaluru"/>
    <s v="No"/>
    <n v="8"/>
  </r>
  <r>
    <d v="2026-08-20T00:00:00"/>
    <x v="2"/>
    <x v="3"/>
    <n v="3"/>
    <n v="26650"/>
    <n v="0"/>
    <n v="79950"/>
    <s v="Visakhapatnam"/>
    <s v="No"/>
    <n v="8"/>
  </r>
  <r>
    <d v="2026-08-20T00:00:00"/>
    <x v="2"/>
    <x v="0"/>
    <n v="1"/>
    <n v="3300"/>
    <n v="0.15"/>
    <n v="2805"/>
    <s v="Visakhapatnam"/>
    <s v="No"/>
    <n v="8"/>
  </r>
  <r>
    <d v="2026-08-20T00:00:00"/>
    <x v="3"/>
    <x v="4"/>
    <n v="3"/>
    <n v="10550"/>
    <n v="0.3"/>
    <n v="22155"/>
    <s v="Chennai"/>
    <s v="Yes"/>
    <n v="8"/>
  </r>
  <r>
    <d v="2026-08-20T00:00:00"/>
    <x v="1"/>
    <x v="3"/>
    <n v="3"/>
    <n v="33050"/>
    <n v="0.1"/>
    <n v="89235"/>
    <s v="Bengaluru"/>
    <s v="No"/>
    <n v="8"/>
  </r>
  <r>
    <d v="2026-08-20T00:00:00"/>
    <x v="5"/>
    <x v="2"/>
    <n v="1"/>
    <n v="2150"/>
    <n v="0.1"/>
    <n v="1935"/>
    <s v="Vijayawada"/>
    <s v="No"/>
    <n v="8"/>
  </r>
  <r>
    <d v="2026-08-20T00:00:00"/>
    <x v="1"/>
    <x v="2"/>
    <n v="2"/>
    <n v="2900"/>
    <n v="0.15"/>
    <n v="4930"/>
    <s v="Bengaluru"/>
    <s v="No"/>
    <n v="8"/>
  </r>
  <r>
    <d v="2026-08-21T00:00:00"/>
    <x v="0"/>
    <x v="1"/>
    <n v="2"/>
    <n v="5200"/>
    <n v="0.1"/>
    <n v="9360"/>
    <s v="Warangal"/>
    <s v="No"/>
    <n v="8"/>
  </r>
  <r>
    <d v="2026-08-21T00:00:00"/>
    <x v="2"/>
    <x v="4"/>
    <n v="1"/>
    <n v="14000"/>
    <n v="0.1"/>
    <n v="12600"/>
    <s v="Visakhapatnam"/>
    <s v="No"/>
    <n v="8"/>
  </r>
  <r>
    <d v="2026-08-21T00:00:00"/>
    <x v="5"/>
    <x v="3"/>
    <n v="1"/>
    <n v="27100"/>
    <n v="0.05"/>
    <n v="25745"/>
    <s v="Vijayawada"/>
    <s v="No"/>
    <n v="8"/>
  </r>
  <r>
    <d v="2026-08-21T00:00:00"/>
    <x v="2"/>
    <x v="2"/>
    <n v="3"/>
    <n v="950"/>
    <n v="0.2"/>
    <n v="2280"/>
    <s v="Visakhapatnam"/>
    <s v="No"/>
    <n v="8"/>
  </r>
  <r>
    <d v="2026-08-22T00:00:00"/>
    <x v="1"/>
    <x v="1"/>
    <n v="1"/>
    <n v="5450"/>
    <n v="0.2"/>
    <n v="4360"/>
    <s v="Bengaluru"/>
    <s v="No"/>
    <n v="8"/>
  </r>
  <r>
    <d v="2026-08-23T00:00:00"/>
    <x v="1"/>
    <x v="4"/>
    <n v="3"/>
    <n v="7450"/>
    <n v="0.15"/>
    <n v="18997.5"/>
    <s v="Bengaluru"/>
    <s v="No"/>
    <n v="8"/>
  </r>
  <r>
    <d v="2026-08-24T00:00:00"/>
    <x v="4"/>
    <x v="2"/>
    <n v="3"/>
    <n v="1200"/>
    <n v="0.1"/>
    <n v="3240"/>
    <s v="Hyderabad"/>
    <s v="No"/>
    <n v="8"/>
  </r>
  <r>
    <d v="2026-08-24T00:00:00"/>
    <x v="5"/>
    <x v="3"/>
    <n v="2"/>
    <n v="33200"/>
    <n v="0.1"/>
    <n v="59760"/>
    <s v="Vijayawada"/>
    <s v="No"/>
    <n v="8"/>
  </r>
  <r>
    <d v="2026-08-25T00:00:00"/>
    <x v="4"/>
    <x v="4"/>
    <n v="2"/>
    <n v="15300"/>
    <n v="0.15"/>
    <n v="26010"/>
    <s v="Hyderabad"/>
    <s v="No"/>
    <n v="8"/>
  </r>
  <r>
    <d v="2026-08-25T00:00:00"/>
    <x v="3"/>
    <x v="1"/>
    <n v="2"/>
    <n v="2650"/>
    <n v="0.05"/>
    <n v="5035"/>
    <s v="Chennai"/>
    <s v="No"/>
    <n v="8"/>
  </r>
  <r>
    <d v="2026-08-25T00:00:00"/>
    <x v="3"/>
    <x v="0"/>
    <n v="2"/>
    <n v="3350"/>
    <n v="0.25"/>
    <n v="5025"/>
    <s v="Chennai"/>
    <s v="Yes"/>
    <n v="8"/>
  </r>
  <r>
    <d v="2026-08-25T00:00:00"/>
    <x v="3"/>
    <x v="0"/>
    <n v="3"/>
    <n v="3500"/>
    <n v="0.05"/>
    <n v="9975"/>
    <s v="Chennai"/>
    <s v="No"/>
    <n v="8"/>
  </r>
  <r>
    <d v="2026-08-27T00:00:00"/>
    <x v="0"/>
    <x v="0"/>
    <n v="1"/>
    <n v="3450"/>
    <n v="0.05"/>
    <n v="3277.5"/>
    <s v="Warangal"/>
    <s v="No"/>
    <n v="8"/>
  </r>
  <r>
    <d v="2026-08-27T00:00:00"/>
    <x v="0"/>
    <x v="0"/>
    <n v="2"/>
    <n v="2850"/>
    <n v="0.1"/>
    <n v="5130"/>
    <s v="Warangal"/>
    <s v="No"/>
    <n v="8"/>
  </r>
  <r>
    <d v="2026-08-27T00:00:00"/>
    <x v="0"/>
    <x v="3"/>
    <n v="3"/>
    <n v="17650"/>
    <n v="0"/>
    <n v="52950"/>
    <s v="Warangal"/>
    <s v="No"/>
    <n v="8"/>
  </r>
  <r>
    <d v="2026-08-28T00:00:00"/>
    <x v="0"/>
    <x v="1"/>
    <n v="3"/>
    <n v="4750"/>
    <n v="0.25"/>
    <n v="10687.5"/>
    <s v="Warangal"/>
    <s v="Yes"/>
    <n v="8"/>
  </r>
  <r>
    <d v="2026-08-28T00:00:00"/>
    <x v="3"/>
    <x v="3"/>
    <n v="2"/>
    <n v="32350"/>
    <n v="0.2"/>
    <n v="51760"/>
    <s v="Chennai"/>
    <s v="No"/>
    <n v="8"/>
  </r>
  <r>
    <d v="2026-08-29T00:00:00"/>
    <x v="4"/>
    <x v="0"/>
    <n v="3"/>
    <n v="900"/>
    <n v="0.3"/>
    <n v="1889.9999999999998"/>
    <s v="Hyderabad"/>
    <s v="Yes"/>
    <n v="8"/>
  </r>
  <r>
    <d v="2026-08-29T00:00:00"/>
    <x v="1"/>
    <x v="3"/>
    <n v="2"/>
    <n v="17950"/>
    <n v="0.25"/>
    <n v="26925"/>
    <s v="Bengaluru"/>
    <s v="Yes"/>
    <n v="8"/>
  </r>
  <r>
    <d v="2026-08-30T00:00:00"/>
    <x v="3"/>
    <x v="3"/>
    <n v="1"/>
    <n v="9250"/>
    <n v="0"/>
    <n v="9250"/>
    <s v="Chennai"/>
    <s v="No"/>
    <n v="8"/>
  </r>
  <r>
    <d v="2026-08-30T00:00:00"/>
    <x v="4"/>
    <x v="4"/>
    <n v="1"/>
    <n v="9900"/>
    <n v="0.3"/>
    <n v="6930"/>
    <s v="Hyderabad"/>
    <s v="Yes"/>
    <n v="8"/>
  </r>
  <r>
    <d v="2026-08-30T00:00:00"/>
    <x v="4"/>
    <x v="3"/>
    <n v="1"/>
    <n v="19350"/>
    <n v="0.3"/>
    <n v="13545"/>
    <s v="Hyderabad"/>
    <s v="Yes"/>
    <n v="8"/>
  </r>
  <r>
    <d v="2026-08-30T00:00:00"/>
    <x v="2"/>
    <x v="3"/>
    <n v="1"/>
    <n v="18900"/>
    <n v="0.3"/>
    <n v="13230"/>
    <s v="Visakhapatnam"/>
    <s v="Yes"/>
    <n v="8"/>
  </r>
  <r>
    <d v="2026-08-30T00:00:00"/>
    <x v="2"/>
    <x v="0"/>
    <n v="1"/>
    <n v="2650"/>
    <n v="0.1"/>
    <n v="2385"/>
    <s v="Visakhapatnam"/>
    <s v="No"/>
    <n v="8"/>
  </r>
  <r>
    <d v="2026-08-30T00:00:00"/>
    <x v="1"/>
    <x v="0"/>
    <n v="2"/>
    <n v="2700"/>
    <n v="0"/>
    <n v="5400"/>
    <s v="Bengaluru"/>
    <s v="No"/>
    <n v="8"/>
  </r>
  <r>
    <d v="2026-08-31T00:00:00"/>
    <x v="4"/>
    <x v="3"/>
    <n v="1"/>
    <n v="27600"/>
    <n v="0"/>
    <n v="27600"/>
    <s v="Hyderabad"/>
    <s v="No"/>
    <n v="8"/>
  </r>
  <r>
    <d v="2026-08-31T00:00:00"/>
    <x v="2"/>
    <x v="1"/>
    <n v="3"/>
    <n v="3250"/>
    <n v="0.05"/>
    <n v="9262.5"/>
    <s v="Visakhapatnam"/>
    <s v="No"/>
    <n v="8"/>
  </r>
  <r>
    <d v="2026-08-31T00:00:00"/>
    <x v="5"/>
    <x v="1"/>
    <n v="3"/>
    <n v="2450"/>
    <n v="0.1"/>
    <n v="6615"/>
    <s v="Vijayawada"/>
    <s v="No"/>
    <n v="8"/>
  </r>
  <r>
    <d v="2026-08-31T00:00:00"/>
    <x v="3"/>
    <x v="1"/>
    <n v="2"/>
    <n v="3400"/>
    <n v="0"/>
    <n v="6800"/>
    <s v="Chennai"/>
    <s v="No"/>
    <n v="8"/>
  </r>
  <r>
    <d v="2026-08-31T00:00:00"/>
    <x v="0"/>
    <x v="0"/>
    <n v="3"/>
    <n v="1750"/>
    <n v="0"/>
    <n v="5250"/>
    <s v="Warangal"/>
    <s v="No"/>
    <n v="8"/>
  </r>
  <r>
    <d v="2026-08-31T00:00:00"/>
    <x v="1"/>
    <x v="2"/>
    <n v="3"/>
    <n v="2350"/>
    <n v="0.1"/>
    <n v="6345"/>
    <s v="Bengaluru"/>
    <s v="No"/>
    <n v="8"/>
  </r>
  <r>
    <d v="2026-09-02T00:00:00"/>
    <x v="1"/>
    <x v="4"/>
    <n v="1"/>
    <n v="17950"/>
    <n v="0.2"/>
    <n v="14360"/>
    <s v="Bengaluru"/>
    <s v="No"/>
    <n v="9"/>
  </r>
  <r>
    <d v="2026-09-03T00:00:00"/>
    <x v="4"/>
    <x v="1"/>
    <n v="1"/>
    <n v="5900"/>
    <n v="0.2"/>
    <n v="4720"/>
    <s v="Hyderabad"/>
    <s v="No"/>
    <n v="9"/>
  </r>
  <r>
    <d v="2026-09-03T00:00:00"/>
    <x v="5"/>
    <x v="0"/>
    <n v="2"/>
    <n v="1800"/>
    <n v="0.2"/>
    <n v="2880"/>
    <s v="Vijayawada"/>
    <s v="No"/>
    <n v="9"/>
  </r>
  <r>
    <d v="2026-09-03T00:00:00"/>
    <x v="5"/>
    <x v="2"/>
    <n v="1"/>
    <n v="2000"/>
    <n v="0"/>
    <n v="2000"/>
    <s v="Vijayawada"/>
    <s v="No"/>
    <n v="9"/>
  </r>
  <r>
    <d v="2026-09-03T00:00:00"/>
    <x v="0"/>
    <x v="2"/>
    <n v="1"/>
    <n v="3600"/>
    <n v="0.2"/>
    <n v="2880"/>
    <s v="Warangal"/>
    <s v="No"/>
    <n v="9"/>
  </r>
  <r>
    <d v="2026-09-04T00:00:00"/>
    <x v="0"/>
    <x v="2"/>
    <n v="3"/>
    <n v="1800"/>
    <n v="0.15"/>
    <n v="4590"/>
    <s v="Warangal"/>
    <s v="No"/>
    <n v="9"/>
  </r>
  <r>
    <d v="2026-09-04T00:00:00"/>
    <x v="4"/>
    <x v="3"/>
    <n v="3"/>
    <n v="27600"/>
    <n v="0.15"/>
    <n v="70380"/>
    <s v="Hyderabad"/>
    <s v="No"/>
    <n v="9"/>
  </r>
  <r>
    <d v="2026-09-04T00:00:00"/>
    <x v="3"/>
    <x v="2"/>
    <n v="2"/>
    <n v="2900"/>
    <n v="0"/>
    <n v="5800"/>
    <s v="Chennai"/>
    <s v="No"/>
    <n v="9"/>
  </r>
  <r>
    <d v="2026-09-05T00:00:00"/>
    <x v="1"/>
    <x v="3"/>
    <n v="2"/>
    <n v="11450"/>
    <n v="0.3"/>
    <n v="16029.999999999998"/>
    <s v="Bengaluru"/>
    <s v="Yes"/>
    <n v="9"/>
  </r>
  <r>
    <d v="2026-09-05T00:00:00"/>
    <x v="3"/>
    <x v="1"/>
    <n v="2"/>
    <n v="3450"/>
    <n v="0.25"/>
    <n v="5175"/>
    <s v="Chennai"/>
    <s v="Yes"/>
    <n v="9"/>
  </r>
  <r>
    <d v="2026-09-05T00:00:00"/>
    <x v="1"/>
    <x v="0"/>
    <n v="2"/>
    <n v="1150"/>
    <n v="0"/>
    <n v="2300"/>
    <s v="Bengaluru"/>
    <s v="No"/>
    <n v="9"/>
  </r>
  <r>
    <d v="2026-09-05T00:00:00"/>
    <x v="5"/>
    <x v="2"/>
    <n v="3"/>
    <n v="2700"/>
    <n v="0.25"/>
    <n v="6075"/>
    <s v="Vijayawada"/>
    <s v="Yes"/>
    <n v="9"/>
  </r>
  <r>
    <d v="2026-09-06T00:00:00"/>
    <x v="0"/>
    <x v="1"/>
    <n v="2"/>
    <n v="1800"/>
    <n v="0"/>
    <n v="3600"/>
    <s v="Warangal"/>
    <s v="No"/>
    <n v="9"/>
  </r>
  <r>
    <d v="2026-09-07T00:00:00"/>
    <x v="4"/>
    <x v="3"/>
    <n v="2"/>
    <n v="12300"/>
    <n v="0.1"/>
    <n v="22140"/>
    <s v="Hyderabad"/>
    <s v="No"/>
    <n v="9"/>
  </r>
  <r>
    <d v="2026-09-07T00:00:00"/>
    <x v="5"/>
    <x v="4"/>
    <n v="3"/>
    <n v="14000"/>
    <n v="0.3"/>
    <n v="29399.999999999996"/>
    <s v="Vijayawada"/>
    <s v="Yes"/>
    <n v="9"/>
  </r>
  <r>
    <d v="2026-09-07T00:00:00"/>
    <x v="4"/>
    <x v="1"/>
    <n v="1"/>
    <n v="3750"/>
    <n v="0"/>
    <n v="3750"/>
    <s v="Hyderabad"/>
    <s v="No"/>
    <n v="9"/>
  </r>
  <r>
    <d v="2026-09-10T00:00:00"/>
    <x v="3"/>
    <x v="4"/>
    <n v="1"/>
    <n v="6750"/>
    <n v="0.1"/>
    <n v="6075"/>
    <s v="Chennai"/>
    <s v="No"/>
    <n v="9"/>
  </r>
  <r>
    <d v="2026-09-10T00:00:00"/>
    <x v="2"/>
    <x v="0"/>
    <n v="2"/>
    <n v="1250"/>
    <n v="0.3"/>
    <n v="1750"/>
    <s v="Visakhapatnam"/>
    <s v="Yes"/>
    <n v="9"/>
  </r>
  <r>
    <d v="2026-09-10T00:00:00"/>
    <x v="0"/>
    <x v="1"/>
    <n v="2"/>
    <n v="4600"/>
    <n v="0.05"/>
    <n v="8740"/>
    <s v="Warangal"/>
    <s v="No"/>
    <n v="9"/>
  </r>
  <r>
    <d v="2026-09-11T00:00:00"/>
    <x v="1"/>
    <x v="4"/>
    <n v="2"/>
    <n v="6350"/>
    <n v="0.1"/>
    <n v="11430"/>
    <s v="Bengaluru"/>
    <s v="No"/>
    <n v="9"/>
  </r>
  <r>
    <d v="2026-09-11T00:00:00"/>
    <x v="1"/>
    <x v="0"/>
    <n v="1"/>
    <n v="3050"/>
    <n v="0.1"/>
    <n v="2745"/>
    <s v="Bengaluru"/>
    <s v="No"/>
    <n v="9"/>
  </r>
  <r>
    <d v="2026-09-11T00:00:00"/>
    <x v="5"/>
    <x v="1"/>
    <n v="2"/>
    <n v="4200"/>
    <n v="0.2"/>
    <n v="6720"/>
    <s v="Vijayawada"/>
    <s v="No"/>
    <n v="9"/>
  </r>
  <r>
    <d v="2026-09-11T00:00:00"/>
    <x v="5"/>
    <x v="4"/>
    <n v="2"/>
    <n v="9050"/>
    <n v="0.1"/>
    <n v="16290"/>
    <s v="Vijayawada"/>
    <s v="No"/>
    <n v="9"/>
  </r>
  <r>
    <d v="2026-09-12T00:00:00"/>
    <x v="5"/>
    <x v="0"/>
    <n v="3"/>
    <n v="1450"/>
    <n v="0.25"/>
    <n v="3262.5"/>
    <s v="Vijayawada"/>
    <s v="Yes"/>
    <n v="9"/>
  </r>
  <r>
    <d v="2026-09-12T00:00:00"/>
    <x v="2"/>
    <x v="1"/>
    <n v="2"/>
    <n v="3700"/>
    <n v="0.1"/>
    <n v="6660"/>
    <s v="Visakhapatnam"/>
    <s v="No"/>
    <n v="9"/>
  </r>
  <r>
    <d v="2026-09-13T00:00:00"/>
    <x v="4"/>
    <x v="0"/>
    <n v="1"/>
    <n v="2600"/>
    <n v="0.25"/>
    <n v="1950"/>
    <s v="Hyderabad"/>
    <s v="Yes"/>
    <n v="9"/>
  </r>
  <r>
    <d v="2026-09-13T00:00:00"/>
    <x v="3"/>
    <x v="1"/>
    <n v="2"/>
    <n v="2150"/>
    <n v="0.3"/>
    <n v="3010"/>
    <s v="Chennai"/>
    <s v="Yes"/>
    <n v="9"/>
  </r>
  <r>
    <d v="2026-09-14T00:00:00"/>
    <x v="2"/>
    <x v="3"/>
    <n v="1"/>
    <n v="16300"/>
    <n v="0.1"/>
    <n v="14670"/>
    <s v="Visakhapatnam"/>
    <s v="No"/>
    <n v="9"/>
  </r>
  <r>
    <d v="2026-09-14T00:00:00"/>
    <x v="3"/>
    <x v="0"/>
    <n v="2"/>
    <n v="3400"/>
    <n v="0.1"/>
    <n v="6120"/>
    <s v="Chennai"/>
    <s v="No"/>
    <n v="9"/>
  </r>
  <r>
    <d v="2026-09-15T00:00:00"/>
    <x v="3"/>
    <x v="1"/>
    <n v="1"/>
    <n v="2750"/>
    <n v="0.05"/>
    <n v="2612.5"/>
    <s v="Chennai"/>
    <s v="No"/>
    <n v="9"/>
  </r>
  <r>
    <d v="2026-09-15T00:00:00"/>
    <x v="2"/>
    <x v="0"/>
    <n v="3"/>
    <n v="1950"/>
    <n v="0.1"/>
    <n v="5265"/>
    <s v="Visakhapatnam"/>
    <s v="No"/>
    <n v="9"/>
  </r>
  <r>
    <d v="2026-09-16T00:00:00"/>
    <x v="5"/>
    <x v="3"/>
    <n v="2"/>
    <n v="25700"/>
    <n v="0"/>
    <n v="51400"/>
    <s v="Vijayawada"/>
    <s v="No"/>
    <n v="9"/>
  </r>
  <r>
    <d v="2026-09-16T00:00:00"/>
    <x v="1"/>
    <x v="4"/>
    <n v="2"/>
    <n v="15400"/>
    <n v="0.15"/>
    <n v="26180"/>
    <s v="Bengaluru"/>
    <s v="No"/>
    <n v="9"/>
  </r>
  <r>
    <d v="2026-09-17T00:00:00"/>
    <x v="1"/>
    <x v="2"/>
    <n v="1"/>
    <n v="2750"/>
    <n v="0.1"/>
    <n v="2475"/>
    <s v="Bengaluru"/>
    <s v="No"/>
    <n v="9"/>
  </r>
  <r>
    <d v="2026-09-17T00:00:00"/>
    <x v="4"/>
    <x v="2"/>
    <n v="2"/>
    <n v="3550"/>
    <n v="0"/>
    <n v="7100"/>
    <s v="Hyderabad"/>
    <s v="No"/>
    <n v="9"/>
  </r>
  <r>
    <d v="2026-09-17T00:00:00"/>
    <x v="1"/>
    <x v="3"/>
    <n v="3"/>
    <n v="17000"/>
    <n v="0.2"/>
    <n v="40800"/>
    <s v="Bengaluru"/>
    <s v="No"/>
    <n v="9"/>
  </r>
  <r>
    <d v="2026-09-18T00:00:00"/>
    <x v="4"/>
    <x v="1"/>
    <n v="1"/>
    <n v="3300"/>
    <n v="0.25"/>
    <n v="2475"/>
    <s v="Hyderabad"/>
    <s v="Yes"/>
    <n v="9"/>
  </r>
  <r>
    <d v="2026-09-18T00:00:00"/>
    <x v="2"/>
    <x v="1"/>
    <n v="1"/>
    <n v="5950"/>
    <n v="0"/>
    <n v="5950"/>
    <s v="Visakhapatnam"/>
    <s v="No"/>
    <n v="9"/>
  </r>
  <r>
    <d v="2026-09-18T00:00:00"/>
    <x v="3"/>
    <x v="3"/>
    <n v="3"/>
    <n v="25300"/>
    <n v="0.05"/>
    <n v="72105"/>
    <s v="Chennai"/>
    <s v="No"/>
    <n v="9"/>
  </r>
  <r>
    <d v="2026-09-19T00:00:00"/>
    <x v="0"/>
    <x v="3"/>
    <n v="1"/>
    <n v="32150"/>
    <n v="0"/>
    <n v="32150"/>
    <s v="Warangal"/>
    <s v="No"/>
    <n v="9"/>
  </r>
  <r>
    <d v="2026-09-19T00:00:00"/>
    <x v="1"/>
    <x v="2"/>
    <n v="3"/>
    <n v="3950"/>
    <n v="0.3"/>
    <n v="8295"/>
    <s v="Bengaluru"/>
    <s v="Yes"/>
    <n v="9"/>
  </r>
  <r>
    <d v="2026-09-21T00:00:00"/>
    <x v="4"/>
    <x v="2"/>
    <n v="3"/>
    <n v="1900"/>
    <n v="0"/>
    <n v="5700"/>
    <s v="Hyderabad"/>
    <s v="No"/>
    <n v="9"/>
  </r>
  <r>
    <d v="2026-09-21T00:00:00"/>
    <x v="2"/>
    <x v="0"/>
    <n v="2"/>
    <n v="1100"/>
    <n v="0.15"/>
    <n v="1870"/>
    <s v="Visakhapatnam"/>
    <s v="No"/>
    <n v="9"/>
  </r>
  <r>
    <d v="2026-09-21T00:00:00"/>
    <x v="3"/>
    <x v="4"/>
    <n v="2"/>
    <n v="9500"/>
    <n v="0.1"/>
    <n v="17100"/>
    <s v="Chennai"/>
    <s v="No"/>
    <n v="9"/>
  </r>
  <r>
    <d v="2026-09-21T00:00:00"/>
    <x v="0"/>
    <x v="3"/>
    <n v="3"/>
    <n v="19050"/>
    <n v="0.15"/>
    <n v="48577.5"/>
    <s v="Warangal"/>
    <s v="No"/>
    <n v="9"/>
  </r>
  <r>
    <d v="2026-09-22T00:00:00"/>
    <x v="0"/>
    <x v="3"/>
    <n v="1"/>
    <n v="17750"/>
    <n v="0"/>
    <n v="17750"/>
    <s v="Warangal"/>
    <s v="No"/>
    <n v="9"/>
  </r>
  <r>
    <d v="2026-09-22T00:00:00"/>
    <x v="1"/>
    <x v="2"/>
    <n v="3"/>
    <n v="1900"/>
    <n v="0.25"/>
    <n v="4275"/>
    <s v="Bengaluru"/>
    <s v="Yes"/>
    <n v="9"/>
  </r>
  <r>
    <d v="2026-09-23T00:00:00"/>
    <x v="5"/>
    <x v="1"/>
    <n v="1"/>
    <n v="3800"/>
    <n v="0.05"/>
    <n v="3610"/>
    <s v="Vijayawada"/>
    <s v="No"/>
    <n v="9"/>
  </r>
  <r>
    <d v="2026-09-23T00:00:00"/>
    <x v="0"/>
    <x v="1"/>
    <n v="3"/>
    <n v="2900"/>
    <n v="0.1"/>
    <n v="7830"/>
    <s v="Warangal"/>
    <s v="No"/>
    <n v="9"/>
  </r>
  <r>
    <d v="2026-09-23T00:00:00"/>
    <x v="1"/>
    <x v="0"/>
    <n v="2"/>
    <n v="3000"/>
    <n v="0.2"/>
    <n v="4800"/>
    <s v="Bengaluru"/>
    <s v="No"/>
    <n v="9"/>
  </r>
  <r>
    <d v="2026-09-23T00:00:00"/>
    <x v="1"/>
    <x v="4"/>
    <n v="2"/>
    <n v="11600"/>
    <n v="0.25"/>
    <n v="17400"/>
    <s v="Bengaluru"/>
    <s v="Yes"/>
    <n v="9"/>
  </r>
  <r>
    <d v="2026-09-23T00:00:00"/>
    <x v="1"/>
    <x v="1"/>
    <n v="2"/>
    <n v="3500"/>
    <n v="0.3"/>
    <n v="4900"/>
    <s v="Bengaluru"/>
    <s v="Yes"/>
    <n v="9"/>
  </r>
  <r>
    <d v="2026-09-24T00:00:00"/>
    <x v="2"/>
    <x v="0"/>
    <n v="1"/>
    <n v="1450"/>
    <n v="0.15"/>
    <n v="1232.5"/>
    <s v="Visakhapatnam"/>
    <s v="No"/>
    <n v="9"/>
  </r>
  <r>
    <d v="2026-09-24T00:00:00"/>
    <x v="1"/>
    <x v="1"/>
    <n v="3"/>
    <n v="1950"/>
    <n v="0"/>
    <n v="5850"/>
    <s v="Bengaluru"/>
    <s v="No"/>
    <n v="9"/>
  </r>
  <r>
    <d v="2026-09-25T00:00:00"/>
    <x v="2"/>
    <x v="0"/>
    <n v="3"/>
    <n v="2600"/>
    <n v="0.3"/>
    <n v="5460"/>
    <s v="Visakhapatnam"/>
    <s v="Yes"/>
    <n v="9"/>
  </r>
  <r>
    <d v="2026-09-25T00:00:00"/>
    <x v="4"/>
    <x v="2"/>
    <n v="3"/>
    <n v="3100"/>
    <n v="0.1"/>
    <n v="8370"/>
    <s v="Hyderabad"/>
    <s v="No"/>
    <n v="9"/>
  </r>
  <r>
    <d v="2026-09-25T00:00:00"/>
    <x v="3"/>
    <x v="2"/>
    <n v="2"/>
    <n v="3600"/>
    <n v="0.25"/>
    <n v="5400"/>
    <s v="Chennai"/>
    <s v="Yes"/>
    <n v="9"/>
  </r>
  <r>
    <d v="2026-09-25T00:00:00"/>
    <x v="4"/>
    <x v="4"/>
    <n v="1"/>
    <n v="11750"/>
    <n v="0.1"/>
    <n v="10575"/>
    <s v="Hyderabad"/>
    <s v="No"/>
    <n v="9"/>
  </r>
  <r>
    <d v="2026-09-26T00:00:00"/>
    <x v="1"/>
    <x v="3"/>
    <n v="2"/>
    <n v="25750"/>
    <n v="0.05"/>
    <n v="48925"/>
    <s v="Bengaluru"/>
    <s v="No"/>
    <n v="9"/>
  </r>
  <r>
    <d v="2026-09-26T00:00:00"/>
    <x v="3"/>
    <x v="2"/>
    <n v="3"/>
    <n v="2650"/>
    <n v="0.25"/>
    <n v="5962.5"/>
    <s v="Chennai"/>
    <s v="Yes"/>
    <n v="9"/>
  </r>
  <r>
    <d v="2026-09-26T00:00:00"/>
    <x v="4"/>
    <x v="1"/>
    <n v="3"/>
    <n v="4000"/>
    <n v="0.2"/>
    <n v="9600"/>
    <s v="Hyderabad"/>
    <s v="No"/>
    <n v="9"/>
  </r>
  <r>
    <d v="2026-09-26T00:00:00"/>
    <x v="0"/>
    <x v="1"/>
    <n v="1"/>
    <n v="2500"/>
    <n v="0.1"/>
    <n v="2250"/>
    <s v="Warangal"/>
    <s v="No"/>
    <n v="9"/>
  </r>
  <r>
    <d v="2026-09-27T00:00:00"/>
    <x v="1"/>
    <x v="0"/>
    <n v="2"/>
    <n v="3200"/>
    <n v="0.1"/>
    <n v="5760"/>
    <s v="Bengaluru"/>
    <s v="No"/>
    <n v="9"/>
  </r>
  <r>
    <d v="2026-09-28T00:00:00"/>
    <x v="0"/>
    <x v="0"/>
    <n v="2"/>
    <n v="1450"/>
    <n v="0.15"/>
    <n v="2465"/>
    <s v="Warangal"/>
    <s v="No"/>
    <n v="9"/>
  </r>
  <r>
    <d v="2026-09-28T00:00:00"/>
    <x v="2"/>
    <x v="1"/>
    <n v="1"/>
    <n v="5500"/>
    <n v="0.1"/>
    <n v="4950"/>
    <s v="Visakhapatnam"/>
    <s v="No"/>
    <n v="9"/>
  </r>
  <r>
    <d v="2026-09-28T00:00:00"/>
    <x v="1"/>
    <x v="2"/>
    <n v="3"/>
    <n v="1700"/>
    <n v="0.2"/>
    <n v="4080"/>
    <s v="Bengaluru"/>
    <s v="No"/>
    <n v="9"/>
  </r>
  <r>
    <d v="2026-09-28T00:00:00"/>
    <x v="2"/>
    <x v="3"/>
    <n v="2"/>
    <n v="21600"/>
    <n v="0"/>
    <n v="43200"/>
    <s v="Visakhapatnam"/>
    <s v="No"/>
    <n v="9"/>
  </r>
  <r>
    <d v="2026-09-29T00:00:00"/>
    <x v="4"/>
    <x v="2"/>
    <n v="1"/>
    <n v="1900"/>
    <n v="0.25"/>
    <n v="1425"/>
    <s v="Hyderabad"/>
    <s v="Yes"/>
    <n v="9"/>
  </r>
  <r>
    <d v="2026-09-29T00:00:00"/>
    <x v="5"/>
    <x v="2"/>
    <n v="1"/>
    <n v="3100"/>
    <n v="0.2"/>
    <n v="2480"/>
    <s v="Vijayawada"/>
    <s v="No"/>
    <n v="9"/>
  </r>
  <r>
    <d v="2026-09-29T00:00:00"/>
    <x v="0"/>
    <x v="0"/>
    <n v="1"/>
    <n v="2300"/>
    <n v="0"/>
    <n v="2300"/>
    <s v="Warangal"/>
    <s v="No"/>
    <n v="9"/>
  </r>
  <r>
    <d v="2026-09-29T00:00:00"/>
    <x v="3"/>
    <x v="2"/>
    <n v="2"/>
    <n v="3650"/>
    <n v="0.15"/>
    <n v="6205"/>
    <s v="Chennai"/>
    <s v="No"/>
    <n v="9"/>
  </r>
  <r>
    <d v="2026-09-29T00:00:00"/>
    <x v="2"/>
    <x v="2"/>
    <n v="1"/>
    <n v="1550"/>
    <n v="0.25"/>
    <n v="1162.5"/>
    <s v="Visakhapatnam"/>
    <s v="Yes"/>
    <n v="9"/>
  </r>
  <r>
    <d v="2026-09-30T00:00:00"/>
    <x v="3"/>
    <x v="2"/>
    <n v="2"/>
    <n v="2300"/>
    <n v="0.3"/>
    <n v="3220"/>
    <s v="Chennai"/>
    <s v="Yes"/>
    <n v="9"/>
  </r>
  <r>
    <d v="2026-09-30T00:00:00"/>
    <x v="1"/>
    <x v="1"/>
    <n v="1"/>
    <n v="4300"/>
    <n v="0"/>
    <n v="4300"/>
    <s v="Bengaluru"/>
    <s v="No"/>
    <n v="9"/>
  </r>
  <r>
    <d v="2026-10-02T00:00:00"/>
    <x v="4"/>
    <x v="2"/>
    <n v="1"/>
    <n v="1400"/>
    <n v="0.25"/>
    <n v="1050"/>
    <s v="Hyderabad"/>
    <s v="Yes"/>
    <n v="10"/>
  </r>
  <r>
    <d v="2026-10-02T00:00:00"/>
    <x v="1"/>
    <x v="4"/>
    <n v="2"/>
    <n v="6000"/>
    <n v="0.1"/>
    <n v="10800"/>
    <s v="Bengaluru"/>
    <s v="No"/>
    <n v="10"/>
  </r>
  <r>
    <d v="2026-10-02T00:00:00"/>
    <x v="4"/>
    <x v="2"/>
    <n v="3"/>
    <n v="3500"/>
    <n v="0"/>
    <n v="10500"/>
    <s v="Hyderabad"/>
    <s v="No"/>
    <n v="10"/>
  </r>
  <r>
    <d v="2026-10-03T00:00:00"/>
    <x v="1"/>
    <x v="3"/>
    <n v="3"/>
    <n v="13850"/>
    <n v="0"/>
    <n v="41550"/>
    <s v="Bengaluru"/>
    <s v="No"/>
    <n v="10"/>
  </r>
  <r>
    <d v="2026-10-03T00:00:00"/>
    <x v="0"/>
    <x v="0"/>
    <n v="3"/>
    <n v="2900"/>
    <n v="0.1"/>
    <n v="7830"/>
    <s v="Warangal"/>
    <s v="No"/>
    <n v="10"/>
  </r>
  <r>
    <d v="2026-10-03T00:00:00"/>
    <x v="4"/>
    <x v="3"/>
    <n v="3"/>
    <n v="25450"/>
    <n v="0.15"/>
    <n v="64897.5"/>
    <s v="Hyderabad"/>
    <s v="No"/>
    <n v="10"/>
  </r>
  <r>
    <d v="2026-10-03T00:00:00"/>
    <x v="2"/>
    <x v="3"/>
    <n v="2"/>
    <n v="28900"/>
    <n v="0.1"/>
    <n v="52020"/>
    <s v="Visakhapatnam"/>
    <s v="No"/>
    <n v="10"/>
  </r>
  <r>
    <d v="2026-10-04T00:00:00"/>
    <x v="3"/>
    <x v="3"/>
    <n v="3"/>
    <n v="10850"/>
    <n v="0"/>
    <n v="32550"/>
    <s v="Chennai"/>
    <s v="No"/>
    <n v="10"/>
  </r>
  <r>
    <d v="2026-10-05T00:00:00"/>
    <x v="1"/>
    <x v="2"/>
    <n v="1"/>
    <n v="2250"/>
    <n v="0"/>
    <n v="2250"/>
    <s v="Bengaluru"/>
    <s v="No"/>
    <n v="10"/>
  </r>
  <r>
    <d v="2026-10-07T00:00:00"/>
    <x v="3"/>
    <x v="0"/>
    <n v="1"/>
    <n v="1200"/>
    <n v="0.1"/>
    <n v="1080"/>
    <s v="Chennai"/>
    <s v="No"/>
    <n v="10"/>
  </r>
  <r>
    <d v="2026-10-08T00:00:00"/>
    <x v="0"/>
    <x v="3"/>
    <n v="2"/>
    <n v="14350"/>
    <n v="0.2"/>
    <n v="22960"/>
    <s v="Warangal"/>
    <s v="No"/>
    <n v="10"/>
  </r>
  <r>
    <d v="2026-10-08T00:00:00"/>
    <x v="2"/>
    <x v="2"/>
    <n v="3"/>
    <n v="2650"/>
    <n v="0.2"/>
    <n v="6360"/>
    <s v="Visakhapatnam"/>
    <s v="No"/>
    <n v="10"/>
  </r>
  <r>
    <d v="2026-10-08T00:00:00"/>
    <x v="5"/>
    <x v="2"/>
    <n v="1"/>
    <n v="2000"/>
    <n v="0.15"/>
    <n v="1700"/>
    <s v="Vijayawada"/>
    <s v="No"/>
    <n v="10"/>
  </r>
  <r>
    <d v="2026-10-08T00:00:00"/>
    <x v="1"/>
    <x v="1"/>
    <n v="3"/>
    <n v="5050"/>
    <n v="0.1"/>
    <n v="13635"/>
    <s v="Bengaluru"/>
    <s v="No"/>
    <n v="10"/>
  </r>
  <r>
    <d v="2026-10-09T00:00:00"/>
    <x v="0"/>
    <x v="0"/>
    <n v="3"/>
    <n v="3300"/>
    <n v="0.3"/>
    <n v="6930"/>
    <s v="Warangal"/>
    <s v="Yes"/>
    <n v="10"/>
  </r>
  <r>
    <d v="2026-10-09T00:00:00"/>
    <x v="4"/>
    <x v="0"/>
    <n v="3"/>
    <n v="1700"/>
    <n v="0"/>
    <n v="5100"/>
    <s v="Hyderabad"/>
    <s v="No"/>
    <n v="10"/>
  </r>
  <r>
    <d v="2026-10-10T00:00:00"/>
    <x v="4"/>
    <x v="4"/>
    <n v="3"/>
    <n v="15650"/>
    <n v="0.1"/>
    <n v="42255"/>
    <s v="Hyderabad"/>
    <s v="No"/>
    <n v="10"/>
  </r>
  <r>
    <d v="2026-10-10T00:00:00"/>
    <x v="5"/>
    <x v="0"/>
    <n v="3"/>
    <n v="2950"/>
    <n v="0.2"/>
    <n v="7080"/>
    <s v="Vijayawada"/>
    <s v="No"/>
    <n v="10"/>
  </r>
  <r>
    <d v="2026-10-10T00:00:00"/>
    <x v="0"/>
    <x v="1"/>
    <n v="1"/>
    <n v="1600"/>
    <n v="0"/>
    <n v="1600"/>
    <s v="Warangal"/>
    <s v="No"/>
    <n v="10"/>
  </r>
  <r>
    <d v="2026-10-10T00:00:00"/>
    <x v="3"/>
    <x v="1"/>
    <n v="2"/>
    <n v="5250"/>
    <n v="0.1"/>
    <n v="9450"/>
    <s v="Chennai"/>
    <s v="No"/>
    <n v="10"/>
  </r>
  <r>
    <d v="2026-10-11T00:00:00"/>
    <x v="4"/>
    <x v="2"/>
    <n v="1"/>
    <n v="1700"/>
    <n v="0.1"/>
    <n v="1530"/>
    <s v="Hyderabad"/>
    <s v="No"/>
    <n v="10"/>
  </r>
  <r>
    <d v="2026-10-12T00:00:00"/>
    <x v="0"/>
    <x v="4"/>
    <n v="3"/>
    <n v="5900"/>
    <n v="0.2"/>
    <n v="14160"/>
    <s v="Warangal"/>
    <s v="No"/>
    <n v="10"/>
  </r>
  <r>
    <d v="2026-10-12T00:00:00"/>
    <x v="3"/>
    <x v="4"/>
    <n v="3"/>
    <n v="14500"/>
    <n v="0"/>
    <n v="43500"/>
    <s v="Chennai"/>
    <s v="No"/>
    <n v="10"/>
  </r>
  <r>
    <d v="2026-10-12T00:00:00"/>
    <x v="0"/>
    <x v="3"/>
    <n v="1"/>
    <n v="14550"/>
    <n v="0"/>
    <n v="14550"/>
    <s v="Warangal"/>
    <s v="No"/>
    <n v="10"/>
  </r>
  <r>
    <d v="2026-10-13T00:00:00"/>
    <x v="5"/>
    <x v="4"/>
    <n v="3"/>
    <n v="5250"/>
    <n v="0.1"/>
    <n v="14175"/>
    <s v="Vijayawada"/>
    <s v="No"/>
    <n v="10"/>
  </r>
  <r>
    <d v="2026-10-13T00:00:00"/>
    <x v="3"/>
    <x v="1"/>
    <n v="2"/>
    <n v="3500"/>
    <n v="0.2"/>
    <n v="5600"/>
    <s v="Chennai"/>
    <s v="No"/>
    <n v="10"/>
  </r>
  <r>
    <d v="2026-10-13T00:00:00"/>
    <x v="1"/>
    <x v="1"/>
    <n v="2"/>
    <n v="1550"/>
    <n v="0.1"/>
    <n v="2790"/>
    <s v="Bengaluru"/>
    <s v="No"/>
    <n v="10"/>
  </r>
  <r>
    <d v="2026-10-13T00:00:00"/>
    <x v="0"/>
    <x v="1"/>
    <n v="3"/>
    <n v="4750"/>
    <n v="0.1"/>
    <n v="12825"/>
    <s v="Warangal"/>
    <s v="No"/>
    <n v="10"/>
  </r>
  <r>
    <d v="2026-10-13T00:00:00"/>
    <x v="4"/>
    <x v="3"/>
    <n v="3"/>
    <n v="24400"/>
    <n v="0.25"/>
    <n v="54900"/>
    <s v="Hyderabad"/>
    <s v="Yes"/>
    <n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26F170-6B0E-4652-BD9F-2C565B37359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tores" colHeaderCaption="Category">
  <location ref="A3:G11" firstHeaderRow="1" firstDataRow="2" firstDataCol="1"/>
  <pivotFields count="10">
    <pivotField numFmtId="164" showAll="0"/>
    <pivotField axis="axisRow" showAll="0">
      <items count="7">
        <item x="4"/>
        <item x="5"/>
        <item x="2"/>
        <item x="1"/>
        <item x="3"/>
        <item x="0"/>
        <item t="default"/>
      </items>
    </pivotField>
    <pivotField axis="axisCol" showAll="0">
      <items count="6">
        <item x="2"/>
        <item x="0"/>
        <item x="3"/>
        <item x="1"/>
        <item x="4"/>
        <item t="default"/>
      </items>
    </pivotField>
    <pivotField showAll="0"/>
    <pivotField numFmtId="3" showAll="0"/>
    <pivotField numFmtId="9" showAll="0"/>
    <pivotField dataField="1" numFmtId="3" showAll="0"/>
    <pivotField showAll="0"/>
    <pivotField showAll="0"/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2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Net Sales" fld="6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"/>
  <sheetViews>
    <sheetView tabSelected="1" zoomScale="104" zoomScaleNormal="100" workbookViewId="0">
      <pane ySplit="1" topLeftCell="A2" activePane="bottomLeft" state="frozen"/>
      <selection pane="bottomLeft" activeCell="E8" sqref="E8"/>
    </sheetView>
  </sheetViews>
  <sheetFormatPr defaultColWidth="8.6328125" defaultRowHeight="14.5" x14ac:dyDescent="0.35"/>
  <cols>
    <col min="1" max="1" width="5" customWidth="1"/>
    <col min="2" max="2" width="70" customWidth="1"/>
    <col min="3" max="3" width="18.90625" bestFit="1" customWidth="1"/>
    <col min="4" max="4" width="33.36328125" bestFit="1" customWidth="1"/>
    <col min="5" max="5" width="30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>
        <v>1</v>
      </c>
      <c r="B2" s="3" t="s">
        <v>5</v>
      </c>
      <c r="C2" s="3" t="s">
        <v>6</v>
      </c>
      <c r="D2" s="3" t="s">
        <v>7</v>
      </c>
      <c r="E2" s="4" t="s">
        <v>103</v>
      </c>
    </row>
    <row r="3" spans="1:5" x14ac:dyDescent="0.35">
      <c r="A3" s="2">
        <v>2</v>
      </c>
      <c r="B3" s="3" t="s">
        <v>8</v>
      </c>
      <c r="C3" s="3" t="s">
        <v>9</v>
      </c>
      <c r="D3" s="3" t="s">
        <v>10</v>
      </c>
      <c r="E3" s="4" t="s">
        <v>103</v>
      </c>
    </row>
    <row r="4" spans="1:5" x14ac:dyDescent="0.35">
      <c r="A4" s="2">
        <v>3</v>
      </c>
      <c r="B4" s="3" t="s">
        <v>11</v>
      </c>
      <c r="C4" s="3" t="s">
        <v>12</v>
      </c>
      <c r="D4" s="3" t="s">
        <v>13</v>
      </c>
      <c r="E4" s="4" t="s">
        <v>103</v>
      </c>
    </row>
    <row r="5" spans="1:5" x14ac:dyDescent="0.35">
      <c r="A5" s="2">
        <v>4</v>
      </c>
      <c r="B5" s="3" t="s">
        <v>14</v>
      </c>
      <c r="C5" s="3" t="s">
        <v>15</v>
      </c>
      <c r="D5" s="3" t="s">
        <v>16</v>
      </c>
      <c r="E5" s="4" t="s">
        <v>103</v>
      </c>
    </row>
    <row r="6" spans="1:5" x14ac:dyDescent="0.35">
      <c r="A6" s="2">
        <v>5</v>
      </c>
      <c r="B6" s="3" t="s">
        <v>17</v>
      </c>
      <c r="C6" s="3" t="s">
        <v>18</v>
      </c>
      <c r="D6" s="3" t="s">
        <v>19</v>
      </c>
      <c r="E6" s="9">
        <f>SUM('Sales Data'!G2:G201)</f>
        <v>2846770</v>
      </c>
    </row>
    <row r="7" spans="1:5" x14ac:dyDescent="0.35">
      <c r="A7" s="2">
        <v>6</v>
      </c>
      <c r="B7" s="3" t="s">
        <v>20</v>
      </c>
      <c r="C7" s="3" t="s">
        <v>18</v>
      </c>
      <c r="D7" s="3" t="s">
        <v>21</v>
      </c>
      <c r="E7" s="9">
        <f>E6/COUNTA('Sales Data'!G2:G201)</f>
        <v>14233.85</v>
      </c>
    </row>
    <row r="8" spans="1:5" x14ac:dyDescent="0.35">
      <c r="A8" s="2">
        <v>7</v>
      </c>
      <c r="B8" s="3" t="s">
        <v>22</v>
      </c>
      <c r="C8" s="3" t="s">
        <v>18</v>
      </c>
      <c r="D8" s="3" t="s">
        <v>23</v>
      </c>
      <c r="E8" s="11" t="s">
        <v>57</v>
      </c>
    </row>
    <row r="9" spans="1:5" ht="25" x14ac:dyDescent="0.35">
      <c r="A9" s="2">
        <v>8</v>
      </c>
      <c r="B9" s="3" t="s">
        <v>24</v>
      </c>
      <c r="C9" s="3" t="s">
        <v>18</v>
      </c>
      <c r="D9" s="3" t="s">
        <v>25</v>
      </c>
      <c r="E9" s="4" t="s">
        <v>103</v>
      </c>
    </row>
    <row r="10" spans="1:5" x14ac:dyDescent="0.35">
      <c r="A10" s="2">
        <v>9</v>
      </c>
      <c r="B10" s="3" t="s">
        <v>26</v>
      </c>
      <c r="C10" s="3" t="s">
        <v>18</v>
      </c>
      <c r="D10" s="3" t="s">
        <v>27</v>
      </c>
      <c r="E10" s="4">
        <f>COUNTIF('Sales Data'!F2:F201,"&gt;20%")</f>
        <v>40</v>
      </c>
    </row>
    <row r="11" spans="1:5" x14ac:dyDescent="0.35">
      <c r="A11" s="2">
        <v>10</v>
      </c>
      <c r="B11" s="3" t="s">
        <v>28</v>
      </c>
      <c r="C11" s="3" t="s">
        <v>29</v>
      </c>
      <c r="D11" s="3" t="s">
        <v>30</v>
      </c>
      <c r="E11" s="4">
        <f>SUMIF('Purchase Data'!F2:F61,"No",'Purchase Data'!G2:G61)</f>
        <v>2033750</v>
      </c>
    </row>
    <row r="12" spans="1:5" x14ac:dyDescent="0.35">
      <c r="A12" s="2">
        <v>11</v>
      </c>
      <c r="B12" s="3" t="s">
        <v>31</v>
      </c>
      <c r="C12" s="3" t="s">
        <v>32</v>
      </c>
      <c r="D12" s="3" t="s">
        <v>30</v>
      </c>
      <c r="E12" s="4" t="s">
        <v>103</v>
      </c>
    </row>
    <row r="13" spans="1:5" x14ac:dyDescent="0.35">
      <c r="A13" s="2">
        <v>12</v>
      </c>
      <c r="B13" s="3" t="s">
        <v>33</v>
      </c>
      <c r="C13" s="3" t="s">
        <v>18</v>
      </c>
      <c r="D13" s="3" t="s">
        <v>34</v>
      </c>
      <c r="E13" s="4" t="s">
        <v>103</v>
      </c>
    </row>
    <row r="14" spans="1:5" x14ac:dyDescent="0.35">
      <c r="A14" s="2">
        <v>13</v>
      </c>
      <c r="B14" s="3" t="s">
        <v>35</v>
      </c>
      <c r="C14" s="3" t="s">
        <v>36</v>
      </c>
      <c r="D14" s="3" t="s">
        <v>37</v>
      </c>
      <c r="E14" s="4" t="s">
        <v>103</v>
      </c>
    </row>
    <row r="15" spans="1:5" ht="25" x14ac:dyDescent="0.35">
      <c r="A15" s="2">
        <v>14</v>
      </c>
      <c r="B15" s="3" t="s">
        <v>38</v>
      </c>
      <c r="C15" s="3" t="s">
        <v>39</v>
      </c>
      <c r="D15" s="3" t="s">
        <v>40</v>
      </c>
      <c r="E15" s="4" t="s">
        <v>103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4"/>
  <sheetViews>
    <sheetView zoomScaleNormal="100" workbookViewId="0">
      <selection activeCell="E2" sqref="E2"/>
    </sheetView>
  </sheetViews>
  <sheetFormatPr defaultColWidth="8.6328125" defaultRowHeight="14.5" x14ac:dyDescent="0.35"/>
  <cols>
    <col min="1" max="1" width="12" customWidth="1"/>
    <col min="2" max="4" width="18" customWidth="1"/>
    <col min="5" max="5" width="9.81640625" bestFit="1" customWidth="1"/>
    <col min="9" max="9" width="13.08984375" bestFit="1" customWidth="1"/>
    <col min="10" max="10" width="9.90625" customWidth="1"/>
    <col min="11" max="11" width="17.90625" customWidth="1"/>
  </cols>
  <sheetData>
    <row r="1" spans="1:12" ht="28" x14ac:dyDescent="0.35">
      <c r="A1" s="1" t="s">
        <v>41</v>
      </c>
      <c r="B1" s="1" t="s">
        <v>42</v>
      </c>
      <c r="C1" s="1" t="s">
        <v>43</v>
      </c>
      <c r="D1" s="1" t="s">
        <v>44</v>
      </c>
      <c r="E1" s="13" t="s">
        <v>105</v>
      </c>
      <c r="G1" s="19" t="s">
        <v>114</v>
      </c>
      <c r="I1" s="1" t="s">
        <v>102</v>
      </c>
      <c r="J1" s="14" t="s">
        <v>104</v>
      </c>
      <c r="K1" s="1" t="s">
        <v>72</v>
      </c>
    </row>
    <row r="2" spans="1:12" x14ac:dyDescent="0.35">
      <c r="A2" s="2" t="s">
        <v>45</v>
      </c>
      <c r="B2" s="2" t="s">
        <v>46</v>
      </c>
      <c r="C2" s="2" t="s">
        <v>47</v>
      </c>
      <c r="D2" s="2" t="s">
        <v>48</v>
      </c>
      <c r="E2">
        <f>SUMIF('Sales Data'!$B$2:$B$201,'Store Master'!A2,'Sales Data'!$G$2:$G$201)</f>
        <v>550335</v>
      </c>
      <c r="G2">
        <f>AVERAGE(E2:E7)</f>
        <v>474461.66666666669</v>
      </c>
      <c r="I2" t="s">
        <v>106</v>
      </c>
      <c r="J2">
        <v>8</v>
      </c>
      <c r="K2">
        <f>SUMIF('Sales Data'!J2:J201,'Store Master'!J2,'Sales Data'!G2:G201)</f>
        <v>1479847.5</v>
      </c>
    </row>
    <row r="3" spans="1:12" x14ac:dyDescent="0.35">
      <c r="A3" s="2" t="s">
        <v>49</v>
      </c>
      <c r="B3" s="2" t="s">
        <v>50</v>
      </c>
      <c r="C3" s="2" t="s">
        <v>51</v>
      </c>
      <c r="D3" s="2" t="s">
        <v>52</v>
      </c>
      <c r="E3">
        <f>SUMIF('Sales Data'!$B$2:$B$201,'Store Master'!A3,'Sales Data'!$G$2:$G$201)</f>
        <v>312112.5</v>
      </c>
      <c r="I3" t="s">
        <v>107</v>
      </c>
      <c r="J3">
        <v>9</v>
      </c>
      <c r="K3">
        <f>SUMIF('Sales Data'!J3:J202,'Store Master'!J3,'Sales Data'!G3:G202)</f>
        <v>861295</v>
      </c>
    </row>
    <row r="4" spans="1:12" x14ac:dyDescent="0.35">
      <c r="A4" s="2" t="s">
        <v>53</v>
      </c>
      <c r="B4" s="2" t="s">
        <v>54</v>
      </c>
      <c r="C4" s="2" t="s">
        <v>51</v>
      </c>
      <c r="D4" s="2" t="s">
        <v>55</v>
      </c>
      <c r="E4">
        <f>SUMIF('Sales Data'!$B$2:$B$201,'Store Master'!A4,'Sales Data'!$G$2:$G$201)</f>
        <v>396017.5</v>
      </c>
      <c r="I4" t="s">
        <v>108</v>
      </c>
      <c r="J4">
        <v>10</v>
      </c>
      <c r="K4">
        <f>SUMIF('Sales Data'!J4:J203,'Store Master'!J4,'Sales Data'!G4:G203)</f>
        <v>505627.5</v>
      </c>
    </row>
    <row r="5" spans="1:12" x14ac:dyDescent="0.35">
      <c r="A5" s="2" t="s">
        <v>56</v>
      </c>
      <c r="B5" s="2" t="s">
        <v>57</v>
      </c>
      <c r="C5" s="2" t="s">
        <v>58</v>
      </c>
      <c r="D5" s="2" t="s">
        <v>59</v>
      </c>
      <c r="E5">
        <f>SUMIF('Sales Data'!$B$2:$B$201,'Store Master'!A5,'Sales Data'!$G$2:$G$201)</f>
        <v>715822.5</v>
      </c>
    </row>
    <row r="6" spans="1:12" x14ac:dyDescent="0.35">
      <c r="A6" s="2" t="s">
        <v>60</v>
      </c>
      <c r="B6" s="2" t="s">
        <v>61</v>
      </c>
      <c r="C6" s="2" t="s">
        <v>62</v>
      </c>
      <c r="D6" s="2" t="s">
        <v>63</v>
      </c>
      <c r="E6">
        <f>SUMIF('Sales Data'!$B$2:$B$201,'Store Master'!A6,'Sales Data'!$G$2:$G$201)</f>
        <v>510697.5</v>
      </c>
    </row>
    <row r="7" spans="1:12" x14ac:dyDescent="0.35">
      <c r="A7" s="2" t="s">
        <v>64</v>
      </c>
      <c r="B7" s="2" t="s">
        <v>65</v>
      </c>
      <c r="C7" s="2" t="s">
        <v>47</v>
      </c>
      <c r="D7" s="2" t="s">
        <v>66</v>
      </c>
      <c r="E7">
        <f>SUMIF('Sales Data'!$B$2:$B$201,'Store Master'!A7,'Sales Data'!$G$2:$G$201)</f>
        <v>361785</v>
      </c>
    </row>
    <row r="8" spans="1:12" x14ac:dyDescent="0.35">
      <c r="E8" s="10">
        <f>SUM(E2:E7)</f>
        <v>2846770</v>
      </c>
    </row>
    <row r="9" spans="1:12" ht="28" x14ac:dyDescent="0.35">
      <c r="E9">
        <f>MAX(E2:E7)</f>
        <v>715822.5</v>
      </c>
      <c r="I9" s="1" t="s">
        <v>68</v>
      </c>
      <c r="J9" s="1" t="s">
        <v>115</v>
      </c>
      <c r="K9" s="1" t="s">
        <v>116</v>
      </c>
      <c r="L9" s="1" t="s">
        <v>117</v>
      </c>
    </row>
    <row r="10" spans="1:12" x14ac:dyDescent="0.35">
      <c r="I10" s="17" t="s">
        <v>76</v>
      </c>
      <c r="J10">
        <f>SUMIFS('Purchase Data'!$D$2:$D$61,'Purchase Data'!$F$2:$F$61,"Yes",'Purchase Data'!$C$2:$C$61,'Store Master'!I10)</f>
        <v>159</v>
      </c>
      <c r="K10">
        <f>SUMIF('Sales Data'!$C$2:$C$201,'Store Master'!I10,'Sales Data'!$D$2:$D$201)</f>
        <v>84</v>
      </c>
      <c r="L10">
        <f>J10-K10</f>
        <v>75</v>
      </c>
    </row>
    <row r="11" spans="1:12" x14ac:dyDescent="0.35">
      <c r="I11" s="17" t="s">
        <v>74</v>
      </c>
      <c r="J11">
        <f>SUMIFS('Purchase Data'!$D$2:$D$61,'Purchase Data'!$F$2:$F$61,"Yes",'Purchase Data'!$C$2:$C$61,'Store Master'!I11)</f>
        <v>274</v>
      </c>
      <c r="K11">
        <f>SUMIF('Sales Data'!$C$2:$C$201,'Store Master'!I11,'Sales Data'!$D$2:$D$201)</f>
        <v>96</v>
      </c>
      <c r="L11">
        <f t="shared" ref="L11:L14" si="0">J11-K11</f>
        <v>178</v>
      </c>
    </row>
    <row r="12" spans="1:12" x14ac:dyDescent="0.35">
      <c r="I12" s="17" t="s">
        <v>77</v>
      </c>
      <c r="J12">
        <f>SUMIFS('Purchase Data'!$D$2:$D$61,'Purchase Data'!$F$2:$F$61,"Yes",'Purchase Data'!$C$2:$C$61,'Store Master'!I12)</f>
        <v>317</v>
      </c>
      <c r="K12">
        <f>SUMIF('Sales Data'!$C$2:$C$201,'Store Master'!I12,'Sales Data'!$D$2:$D$201)</f>
        <v>90</v>
      </c>
      <c r="L12">
        <f t="shared" si="0"/>
        <v>227</v>
      </c>
    </row>
    <row r="13" spans="1:12" x14ac:dyDescent="0.35">
      <c r="I13" s="17" t="s">
        <v>75</v>
      </c>
      <c r="J13">
        <f>SUMIFS('Purchase Data'!$D$2:$D$61,'Purchase Data'!$F$2:$F$61,"Yes",'Purchase Data'!$C$2:$C$61,'Store Master'!I13)</f>
        <v>194</v>
      </c>
      <c r="K13">
        <f>SUMIF('Sales Data'!$C$2:$C$201,'Store Master'!I13,'Sales Data'!$D$2:$D$201)</f>
        <v>81</v>
      </c>
      <c r="L13">
        <f t="shared" si="0"/>
        <v>113</v>
      </c>
    </row>
    <row r="14" spans="1:12" x14ac:dyDescent="0.35">
      <c r="I14" s="17" t="s">
        <v>78</v>
      </c>
      <c r="J14">
        <f>SUMIFS('Purchase Data'!$D$2:$D$61,'Purchase Data'!$F$2:$F$61,"Yes",'Purchase Data'!$C$2:$C$61,'Store Master'!I14)</f>
        <v>482</v>
      </c>
      <c r="K14">
        <f>SUMIF('Sales Data'!$C$2:$C$201,'Store Master'!I14,'Sales Data'!$D$2:$D$201)</f>
        <v>59</v>
      </c>
      <c r="L14">
        <f t="shared" si="0"/>
        <v>423</v>
      </c>
    </row>
  </sheetData>
  <phoneticPr fontId="6" type="noConversion"/>
  <conditionalFormatting sqref="E2:E7">
    <cfRule type="cellIs" dxfId="0" priority="1" operator="lessThan">
      <formula>$G$2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34DF2-83FD-45E3-801F-03F137E2998C}">
  <dimension ref="A3:G11"/>
  <sheetViews>
    <sheetView workbookViewId="0">
      <selection activeCell="F6" sqref="F6"/>
    </sheetView>
  </sheetViews>
  <sheetFormatPr defaultRowHeight="14.5" x14ac:dyDescent="0.35"/>
  <cols>
    <col min="1" max="1" width="14.81640625" bestFit="1" customWidth="1"/>
    <col min="2" max="2" width="15.26953125" bestFit="1" customWidth="1"/>
    <col min="3" max="3" width="9.26953125" bestFit="1" customWidth="1"/>
    <col min="4" max="4" width="8.90625" bestFit="1" customWidth="1"/>
    <col min="5" max="5" width="9.6328125" bestFit="1" customWidth="1"/>
    <col min="7" max="7" width="10.7265625" bestFit="1" customWidth="1"/>
  </cols>
  <sheetData>
    <row r="3" spans="1:7" x14ac:dyDescent="0.35">
      <c r="A3" s="15" t="s">
        <v>110</v>
      </c>
      <c r="B3" s="15" t="s">
        <v>68</v>
      </c>
    </row>
    <row r="4" spans="1:7" x14ac:dyDescent="0.35">
      <c r="A4" s="15" t="s">
        <v>111</v>
      </c>
      <c r="B4" t="s">
        <v>76</v>
      </c>
      <c r="C4" t="s">
        <v>74</v>
      </c>
      <c r="D4" t="s">
        <v>77</v>
      </c>
      <c r="E4" t="s">
        <v>75</v>
      </c>
      <c r="F4" t="s">
        <v>78</v>
      </c>
      <c r="G4" t="s">
        <v>109</v>
      </c>
    </row>
    <row r="5" spans="1:7" x14ac:dyDescent="0.35">
      <c r="A5" s="16" t="s">
        <v>45</v>
      </c>
      <c r="B5" s="18">
        <v>39770</v>
      </c>
      <c r="C5" s="18">
        <v>12435</v>
      </c>
      <c r="D5" s="18">
        <v>365525</v>
      </c>
      <c r="E5" s="18">
        <v>28205</v>
      </c>
      <c r="F5" s="18">
        <v>104400</v>
      </c>
      <c r="G5" s="18">
        <v>550335</v>
      </c>
    </row>
    <row r="6" spans="1:7" x14ac:dyDescent="0.35">
      <c r="A6" s="16" t="s">
        <v>49</v>
      </c>
      <c r="B6" s="18">
        <v>17160</v>
      </c>
      <c r="C6" s="18">
        <v>24670</v>
      </c>
      <c r="D6" s="18">
        <v>136905</v>
      </c>
      <c r="E6" s="18">
        <v>33745</v>
      </c>
      <c r="F6" s="18">
        <v>99632.5</v>
      </c>
      <c r="G6" s="18">
        <v>312112.5</v>
      </c>
    </row>
    <row r="7" spans="1:7" x14ac:dyDescent="0.35">
      <c r="A7" s="16" t="s">
        <v>53</v>
      </c>
      <c r="B7" s="18">
        <v>18982.5</v>
      </c>
      <c r="C7" s="18">
        <v>27967.5</v>
      </c>
      <c r="D7" s="18">
        <v>270330</v>
      </c>
      <c r="E7" s="18">
        <v>38432.5</v>
      </c>
      <c r="F7" s="18">
        <v>40305</v>
      </c>
      <c r="G7" s="18">
        <v>396017.5</v>
      </c>
    </row>
    <row r="8" spans="1:7" x14ac:dyDescent="0.35">
      <c r="A8" s="16" t="s">
        <v>56</v>
      </c>
      <c r="B8" s="18">
        <v>55570</v>
      </c>
      <c r="C8" s="18">
        <v>42567.5</v>
      </c>
      <c r="D8" s="18">
        <v>431337.5</v>
      </c>
      <c r="E8" s="18">
        <v>60980</v>
      </c>
      <c r="F8" s="18">
        <v>125367.5</v>
      </c>
      <c r="G8" s="18">
        <v>715822.5</v>
      </c>
    </row>
    <row r="9" spans="1:7" x14ac:dyDescent="0.35">
      <c r="A9" s="16" t="s">
        <v>60</v>
      </c>
      <c r="B9" s="18">
        <v>26587.5</v>
      </c>
      <c r="C9" s="18">
        <v>30742.5</v>
      </c>
      <c r="D9" s="18">
        <v>294335</v>
      </c>
      <c r="E9" s="18">
        <v>45722.5</v>
      </c>
      <c r="F9" s="18">
        <v>113310</v>
      </c>
      <c r="G9" s="18">
        <v>510697.5</v>
      </c>
    </row>
    <row r="10" spans="1:7" x14ac:dyDescent="0.35">
      <c r="A10" s="16" t="s">
        <v>64</v>
      </c>
      <c r="B10" s="18">
        <v>22520</v>
      </c>
      <c r="C10" s="18">
        <v>58060</v>
      </c>
      <c r="D10" s="18">
        <v>188937.5</v>
      </c>
      <c r="E10" s="18">
        <v>59007.5</v>
      </c>
      <c r="F10" s="18">
        <v>33260</v>
      </c>
      <c r="G10" s="18">
        <v>361785</v>
      </c>
    </row>
    <row r="11" spans="1:7" x14ac:dyDescent="0.35">
      <c r="A11" s="16" t="s">
        <v>109</v>
      </c>
      <c r="B11" s="18">
        <v>180590</v>
      </c>
      <c r="C11" s="18">
        <v>196442.5</v>
      </c>
      <c r="D11" s="18">
        <v>1687370</v>
      </c>
      <c r="E11" s="18">
        <v>266092.5</v>
      </c>
      <c r="F11" s="18">
        <v>516275</v>
      </c>
      <c r="G11" s="18">
        <v>2846770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01"/>
  <sheetViews>
    <sheetView zoomScaleNormal="100" workbookViewId="0">
      <pane ySplit="1" topLeftCell="A182" activePane="bottomLeft" state="frozen"/>
      <selection pane="bottomLeft" activeCell="G179" sqref="G179"/>
    </sheetView>
  </sheetViews>
  <sheetFormatPr defaultColWidth="8.6328125" defaultRowHeight="14.5" x14ac:dyDescent="0.35"/>
  <cols>
    <col min="1" max="1" width="14" customWidth="1"/>
    <col min="2" max="2" width="10" customWidth="1"/>
    <col min="3" max="3" width="16" customWidth="1"/>
    <col min="4" max="4" width="8" customWidth="1"/>
    <col min="5" max="6" width="12" customWidth="1"/>
    <col min="7" max="7" width="14" customWidth="1"/>
    <col min="8" max="9" width="16" customWidth="1"/>
  </cols>
  <sheetData>
    <row r="1" spans="1:10" x14ac:dyDescent="0.35">
      <c r="A1" s="1" t="s">
        <v>67</v>
      </c>
      <c r="B1" s="1" t="s">
        <v>41</v>
      </c>
      <c r="C1" s="1" t="s">
        <v>68</v>
      </c>
      <c r="D1" s="1" t="s">
        <v>69</v>
      </c>
      <c r="E1" s="1" t="s">
        <v>70</v>
      </c>
      <c r="F1" s="1" t="s">
        <v>71</v>
      </c>
      <c r="G1" s="5" t="s">
        <v>72</v>
      </c>
      <c r="H1" s="5" t="s">
        <v>42</v>
      </c>
      <c r="I1" s="5" t="s">
        <v>73</v>
      </c>
      <c r="J1" s="12" t="s">
        <v>104</v>
      </c>
    </row>
    <row r="2" spans="1:10" x14ac:dyDescent="0.35">
      <c r="A2" s="6">
        <v>46235</v>
      </c>
      <c r="B2" s="2" t="s">
        <v>64</v>
      </c>
      <c r="C2" s="2" t="s">
        <v>74</v>
      </c>
      <c r="D2" s="2">
        <v>1</v>
      </c>
      <c r="E2" s="7">
        <v>2850</v>
      </c>
      <c r="F2" s="8">
        <v>0.3</v>
      </c>
      <c r="G2" s="9">
        <f>D2*E2*(1-F2)</f>
        <v>1994.9999999999998</v>
      </c>
      <c r="H2" s="4" t="str">
        <f>VLOOKUP(B2,'Store Master'!$A$2:$B$7,2,0)</f>
        <v>Warangal</v>
      </c>
      <c r="I2" s="4" t="str">
        <f>IF(F2&gt;20%,"Yes","No")</f>
        <v>Yes</v>
      </c>
      <c r="J2">
        <f>MONTH(A2)</f>
        <v>8</v>
      </c>
    </row>
    <row r="3" spans="1:10" x14ac:dyDescent="0.35">
      <c r="A3" s="6">
        <v>46235</v>
      </c>
      <c r="B3" s="2" t="s">
        <v>56</v>
      </c>
      <c r="C3" s="2" t="s">
        <v>75</v>
      </c>
      <c r="D3" s="2">
        <v>2</v>
      </c>
      <c r="E3" s="7">
        <v>5350</v>
      </c>
      <c r="F3" s="8">
        <v>0</v>
      </c>
      <c r="G3" s="9">
        <f t="shared" ref="G3:G66" si="0">D3*E3*(1-F3)</f>
        <v>10700</v>
      </c>
      <c r="H3" s="4" t="str">
        <f>VLOOKUP(B3,'Store Master'!$A$2:$B$7,2,0)</f>
        <v>Bengaluru</v>
      </c>
      <c r="I3" s="4" t="str">
        <f t="shared" ref="I3:I66" si="1">IF(F3&gt;20%,"Yes","No")</f>
        <v>No</v>
      </c>
      <c r="J3">
        <f t="shared" ref="J3:J66" si="2">MONTH(A3)</f>
        <v>8</v>
      </c>
    </row>
    <row r="4" spans="1:10" x14ac:dyDescent="0.35">
      <c r="A4" s="6">
        <v>46235</v>
      </c>
      <c r="B4" s="2" t="s">
        <v>64</v>
      </c>
      <c r="C4" s="2" t="s">
        <v>76</v>
      </c>
      <c r="D4" s="2">
        <v>2</v>
      </c>
      <c r="E4" s="7">
        <v>2800</v>
      </c>
      <c r="F4" s="8">
        <v>0</v>
      </c>
      <c r="G4" s="9">
        <f t="shared" si="0"/>
        <v>5600</v>
      </c>
      <c r="H4" s="4" t="str">
        <f>VLOOKUP(B4,'Store Master'!$A$2:$B$7,2,0)</f>
        <v>Warangal</v>
      </c>
      <c r="I4" s="4" t="str">
        <f t="shared" si="1"/>
        <v>No</v>
      </c>
      <c r="J4">
        <f t="shared" si="2"/>
        <v>8</v>
      </c>
    </row>
    <row r="5" spans="1:10" x14ac:dyDescent="0.35">
      <c r="A5" s="6">
        <v>46235</v>
      </c>
      <c r="B5" s="2" t="s">
        <v>53</v>
      </c>
      <c r="C5" s="2" t="s">
        <v>74</v>
      </c>
      <c r="D5" s="2">
        <v>3</v>
      </c>
      <c r="E5" s="7">
        <v>3200</v>
      </c>
      <c r="F5" s="8">
        <v>0.25</v>
      </c>
      <c r="G5" s="9">
        <f t="shared" si="0"/>
        <v>7200</v>
      </c>
      <c r="H5" s="4" t="str">
        <f>VLOOKUP(B5,'Store Master'!$A$2:$B$7,2,0)</f>
        <v>Visakhapatnam</v>
      </c>
      <c r="I5" s="4" t="str">
        <f t="shared" si="1"/>
        <v>Yes</v>
      </c>
      <c r="J5">
        <f t="shared" si="2"/>
        <v>8</v>
      </c>
    </row>
    <row r="6" spans="1:10" x14ac:dyDescent="0.35">
      <c r="A6" s="6">
        <v>46236</v>
      </c>
      <c r="B6" s="2" t="s">
        <v>56</v>
      </c>
      <c r="C6" s="2" t="s">
        <v>76</v>
      </c>
      <c r="D6" s="2">
        <v>1</v>
      </c>
      <c r="E6" s="7">
        <v>3200</v>
      </c>
      <c r="F6" s="8">
        <v>0</v>
      </c>
      <c r="G6" s="9">
        <f t="shared" si="0"/>
        <v>3200</v>
      </c>
      <c r="H6" s="4" t="str">
        <f>VLOOKUP(B6,'Store Master'!$A$2:$B$7,2,0)</f>
        <v>Bengaluru</v>
      </c>
      <c r="I6" s="4" t="str">
        <f t="shared" si="1"/>
        <v>No</v>
      </c>
      <c r="J6">
        <f t="shared" si="2"/>
        <v>8</v>
      </c>
    </row>
    <row r="7" spans="1:10" x14ac:dyDescent="0.35">
      <c r="A7" s="6">
        <v>46236</v>
      </c>
      <c r="B7" s="2" t="s">
        <v>64</v>
      </c>
      <c r="C7" s="2" t="s">
        <v>76</v>
      </c>
      <c r="D7" s="2">
        <v>3</v>
      </c>
      <c r="E7" s="7">
        <v>2150</v>
      </c>
      <c r="F7" s="8">
        <v>0</v>
      </c>
      <c r="G7" s="9">
        <f t="shared" si="0"/>
        <v>6450</v>
      </c>
      <c r="H7" s="4" t="str">
        <f>VLOOKUP(B7,'Store Master'!$A$2:$B$7,2,0)</f>
        <v>Warangal</v>
      </c>
      <c r="I7" s="4" t="str">
        <f t="shared" si="1"/>
        <v>No</v>
      </c>
      <c r="J7">
        <f t="shared" si="2"/>
        <v>8</v>
      </c>
    </row>
    <row r="8" spans="1:10" x14ac:dyDescent="0.35">
      <c r="A8" s="6">
        <v>46238</v>
      </c>
      <c r="B8" s="2" t="s">
        <v>60</v>
      </c>
      <c r="C8" s="2" t="s">
        <v>77</v>
      </c>
      <c r="D8" s="2">
        <v>3</v>
      </c>
      <c r="E8" s="7">
        <v>32450</v>
      </c>
      <c r="F8" s="8">
        <v>0.3</v>
      </c>
      <c r="G8" s="9">
        <f t="shared" si="0"/>
        <v>68145</v>
      </c>
      <c r="H8" s="4" t="str">
        <f>VLOOKUP(B8,'Store Master'!$A$2:$B$7,2,0)</f>
        <v>Chennai</v>
      </c>
      <c r="I8" s="4" t="str">
        <f t="shared" si="1"/>
        <v>Yes</v>
      </c>
      <c r="J8">
        <f t="shared" si="2"/>
        <v>8</v>
      </c>
    </row>
    <row r="9" spans="1:10" x14ac:dyDescent="0.35">
      <c r="A9" s="6">
        <v>46238</v>
      </c>
      <c r="B9" s="2" t="s">
        <v>45</v>
      </c>
      <c r="C9" s="2" t="s">
        <v>77</v>
      </c>
      <c r="D9" s="2">
        <v>3</v>
      </c>
      <c r="E9" s="7">
        <v>24550</v>
      </c>
      <c r="F9" s="8">
        <v>0</v>
      </c>
      <c r="G9" s="9">
        <f t="shared" si="0"/>
        <v>73650</v>
      </c>
      <c r="H9" s="4" t="str">
        <f>VLOOKUP(B9,'Store Master'!$A$2:$B$7,2,0)</f>
        <v>Hyderabad</v>
      </c>
      <c r="I9" s="4" t="str">
        <f t="shared" si="1"/>
        <v>No</v>
      </c>
      <c r="J9">
        <f t="shared" si="2"/>
        <v>8</v>
      </c>
    </row>
    <row r="10" spans="1:10" x14ac:dyDescent="0.35">
      <c r="A10" s="6">
        <v>46238</v>
      </c>
      <c r="B10" s="2" t="s">
        <v>56</v>
      </c>
      <c r="C10" s="2" t="s">
        <v>74</v>
      </c>
      <c r="D10" s="2">
        <v>3</v>
      </c>
      <c r="E10" s="7">
        <v>2450</v>
      </c>
      <c r="F10" s="8">
        <v>0.05</v>
      </c>
      <c r="G10" s="9">
        <f t="shared" si="0"/>
        <v>6982.5</v>
      </c>
      <c r="H10" s="4" t="str">
        <f>VLOOKUP(B10,'Store Master'!$A$2:$B$7,2,0)</f>
        <v>Bengaluru</v>
      </c>
      <c r="I10" s="4" t="str">
        <f t="shared" si="1"/>
        <v>No</v>
      </c>
      <c r="J10">
        <f t="shared" si="2"/>
        <v>8</v>
      </c>
    </row>
    <row r="11" spans="1:10" x14ac:dyDescent="0.35">
      <c r="A11" s="6">
        <v>46238</v>
      </c>
      <c r="B11" s="2" t="s">
        <v>56</v>
      </c>
      <c r="C11" s="2" t="s">
        <v>74</v>
      </c>
      <c r="D11" s="2">
        <v>2</v>
      </c>
      <c r="E11" s="7">
        <v>1550</v>
      </c>
      <c r="F11" s="8">
        <v>0.1</v>
      </c>
      <c r="G11" s="9">
        <f t="shared" si="0"/>
        <v>2790</v>
      </c>
      <c r="H11" s="4" t="str">
        <f>VLOOKUP(B11,'Store Master'!$A$2:$B$7,2,0)</f>
        <v>Bengaluru</v>
      </c>
      <c r="I11" s="4" t="str">
        <f t="shared" si="1"/>
        <v>No</v>
      </c>
      <c r="J11">
        <f t="shared" si="2"/>
        <v>8</v>
      </c>
    </row>
    <row r="12" spans="1:10" x14ac:dyDescent="0.35">
      <c r="A12" s="6">
        <v>46238</v>
      </c>
      <c r="B12" s="2" t="s">
        <v>45</v>
      </c>
      <c r="C12" s="2" t="s">
        <v>74</v>
      </c>
      <c r="D12" s="2">
        <v>2</v>
      </c>
      <c r="E12" s="7">
        <v>1050</v>
      </c>
      <c r="F12" s="8">
        <v>0.15</v>
      </c>
      <c r="G12" s="9">
        <f t="shared" si="0"/>
        <v>1785</v>
      </c>
      <c r="H12" s="4" t="str">
        <f>VLOOKUP(B12,'Store Master'!$A$2:$B$7,2,0)</f>
        <v>Hyderabad</v>
      </c>
      <c r="I12" s="4" t="str">
        <f t="shared" si="1"/>
        <v>No</v>
      </c>
      <c r="J12">
        <f t="shared" si="2"/>
        <v>8</v>
      </c>
    </row>
    <row r="13" spans="1:10" x14ac:dyDescent="0.35">
      <c r="A13" s="6">
        <v>46239</v>
      </c>
      <c r="B13" s="2" t="s">
        <v>45</v>
      </c>
      <c r="C13" s="2" t="s">
        <v>78</v>
      </c>
      <c r="D13" s="2">
        <v>1</v>
      </c>
      <c r="E13" s="7">
        <v>8100</v>
      </c>
      <c r="F13" s="8">
        <v>0.3</v>
      </c>
      <c r="G13" s="9">
        <f t="shared" si="0"/>
        <v>5670</v>
      </c>
      <c r="H13" s="4" t="str">
        <f>VLOOKUP(B13,'Store Master'!$A$2:$B$7,2,0)</f>
        <v>Hyderabad</v>
      </c>
      <c r="I13" s="4" t="str">
        <f t="shared" si="1"/>
        <v>Yes</v>
      </c>
      <c r="J13">
        <f t="shared" si="2"/>
        <v>8</v>
      </c>
    </row>
    <row r="14" spans="1:10" x14ac:dyDescent="0.35">
      <c r="A14" s="6">
        <v>46240</v>
      </c>
      <c r="B14" s="2" t="s">
        <v>53</v>
      </c>
      <c r="C14" s="2" t="s">
        <v>77</v>
      </c>
      <c r="D14" s="2">
        <v>1</v>
      </c>
      <c r="E14" s="7">
        <v>31350</v>
      </c>
      <c r="F14" s="8">
        <v>0</v>
      </c>
      <c r="G14" s="9">
        <f t="shared" si="0"/>
        <v>31350</v>
      </c>
      <c r="H14" s="4" t="str">
        <f>VLOOKUP(B14,'Store Master'!$A$2:$B$7,2,0)</f>
        <v>Visakhapatnam</v>
      </c>
      <c r="I14" s="4" t="str">
        <f t="shared" si="1"/>
        <v>No</v>
      </c>
      <c r="J14">
        <f t="shared" si="2"/>
        <v>8</v>
      </c>
    </row>
    <row r="15" spans="1:10" x14ac:dyDescent="0.35">
      <c r="A15" s="6">
        <v>46240</v>
      </c>
      <c r="B15" s="2" t="s">
        <v>45</v>
      </c>
      <c r="C15" s="2" t="s">
        <v>77</v>
      </c>
      <c r="D15" s="2">
        <v>1</v>
      </c>
      <c r="E15" s="7">
        <v>15550</v>
      </c>
      <c r="F15" s="8">
        <v>0.05</v>
      </c>
      <c r="G15" s="9">
        <f t="shared" si="0"/>
        <v>14772.5</v>
      </c>
      <c r="H15" s="4" t="str">
        <f>VLOOKUP(B15,'Store Master'!$A$2:$B$7,2,0)</f>
        <v>Hyderabad</v>
      </c>
      <c r="I15" s="4" t="str">
        <f t="shared" si="1"/>
        <v>No</v>
      </c>
      <c r="J15">
        <f t="shared" si="2"/>
        <v>8</v>
      </c>
    </row>
    <row r="16" spans="1:10" x14ac:dyDescent="0.35">
      <c r="A16" s="6">
        <v>46240</v>
      </c>
      <c r="B16" s="2" t="s">
        <v>56</v>
      </c>
      <c r="C16" s="2" t="s">
        <v>74</v>
      </c>
      <c r="D16" s="2">
        <v>2</v>
      </c>
      <c r="E16" s="7">
        <v>3250</v>
      </c>
      <c r="F16" s="8">
        <v>0</v>
      </c>
      <c r="G16" s="9">
        <f t="shared" si="0"/>
        <v>6500</v>
      </c>
      <c r="H16" s="4" t="str">
        <f>VLOOKUP(B16,'Store Master'!$A$2:$B$7,2,0)</f>
        <v>Bengaluru</v>
      </c>
      <c r="I16" s="4" t="str">
        <f t="shared" si="1"/>
        <v>No</v>
      </c>
      <c r="J16">
        <f t="shared" si="2"/>
        <v>8</v>
      </c>
    </row>
    <row r="17" spans="1:10" x14ac:dyDescent="0.35">
      <c r="A17" s="6">
        <v>46241</v>
      </c>
      <c r="B17" s="2" t="s">
        <v>45</v>
      </c>
      <c r="C17" s="2" t="s">
        <v>77</v>
      </c>
      <c r="D17" s="2">
        <v>1</v>
      </c>
      <c r="E17" s="7">
        <v>29550</v>
      </c>
      <c r="F17" s="8">
        <v>0.2</v>
      </c>
      <c r="G17" s="9">
        <f t="shared" si="0"/>
        <v>23640</v>
      </c>
      <c r="H17" s="4" t="str">
        <f>VLOOKUP(B17,'Store Master'!$A$2:$B$7,2,0)</f>
        <v>Hyderabad</v>
      </c>
      <c r="I17" s="4" t="str">
        <f t="shared" si="1"/>
        <v>No</v>
      </c>
      <c r="J17">
        <f t="shared" si="2"/>
        <v>8</v>
      </c>
    </row>
    <row r="18" spans="1:10" x14ac:dyDescent="0.35">
      <c r="A18" s="6">
        <v>46241</v>
      </c>
      <c r="B18" s="2" t="s">
        <v>45</v>
      </c>
      <c r="C18" s="2" t="s">
        <v>75</v>
      </c>
      <c r="D18" s="2">
        <v>1</v>
      </c>
      <c r="E18" s="7">
        <v>3750</v>
      </c>
      <c r="F18" s="8">
        <v>0</v>
      </c>
      <c r="G18" s="9">
        <f t="shared" si="0"/>
        <v>3750</v>
      </c>
      <c r="H18" s="4" t="str">
        <f>VLOOKUP(B18,'Store Master'!$A$2:$B$7,2,0)</f>
        <v>Hyderabad</v>
      </c>
      <c r="I18" s="4" t="str">
        <f t="shared" si="1"/>
        <v>No</v>
      </c>
      <c r="J18">
        <f t="shared" si="2"/>
        <v>8</v>
      </c>
    </row>
    <row r="19" spans="1:10" x14ac:dyDescent="0.35">
      <c r="A19" s="6">
        <v>46241</v>
      </c>
      <c r="B19" s="2" t="s">
        <v>49</v>
      </c>
      <c r="C19" s="2" t="s">
        <v>74</v>
      </c>
      <c r="D19" s="2">
        <v>1</v>
      </c>
      <c r="E19" s="7">
        <v>3050</v>
      </c>
      <c r="F19" s="8">
        <v>0.1</v>
      </c>
      <c r="G19" s="9">
        <f t="shared" si="0"/>
        <v>2745</v>
      </c>
      <c r="H19" s="4" t="str">
        <f>VLOOKUP(B19,'Store Master'!$A$2:$B$7,2,0)</f>
        <v>Vijayawada</v>
      </c>
      <c r="I19" s="4" t="str">
        <f t="shared" si="1"/>
        <v>No</v>
      </c>
      <c r="J19">
        <f t="shared" si="2"/>
        <v>8</v>
      </c>
    </row>
    <row r="20" spans="1:10" x14ac:dyDescent="0.35">
      <c r="A20" s="6">
        <v>46242</v>
      </c>
      <c r="B20" s="2" t="s">
        <v>49</v>
      </c>
      <c r="C20" s="2" t="s">
        <v>78</v>
      </c>
      <c r="D20" s="2">
        <v>2</v>
      </c>
      <c r="E20" s="7">
        <v>17700</v>
      </c>
      <c r="F20" s="8">
        <v>0.2</v>
      </c>
      <c r="G20" s="9">
        <f t="shared" si="0"/>
        <v>28320</v>
      </c>
      <c r="H20" s="4" t="str">
        <f>VLOOKUP(B20,'Store Master'!$A$2:$B$7,2,0)</f>
        <v>Vijayawada</v>
      </c>
      <c r="I20" s="4" t="str">
        <f t="shared" si="1"/>
        <v>No</v>
      </c>
      <c r="J20">
        <f t="shared" si="2"/>
        <v>8</v>
      </c>
    </row>
    <row r="21" spans="1:10" x14ac:dyDescent="0.35">
      <c r="A21" s="6">
        <v>46242</v>
      </c>
      <c r="B21" s="2" t="s">
        <v>56</v>
      </c>
      <c r="C21" s="2" t="s">
        <v>74</v>
      </c>
      <c r="D21" s="2">
        <v>1</v>
      </c>
      <c r="E21" s="7">
        <v>1250</v>
      </c>
      <c r="F21" s="8">
        <v>0.1</v>
      </c>
      <c r="G21" s="9">
        <f t="shared" si="0"/>
        <v>1125</v>
      </c>
      <c r="H21" s="4" t="str">
        <f>VLOOKUP(B21,'Store Master'!$A$2:$B$7,2,0)</f>
        <v>Bengaluru</v>
      </c>
      <c r="I21" s="4" t="str">
        <f t="shared" si="1"/>
        <v>No</v>
      </c>
      <c r="J21">
        <f t="shared" si="2"/>
        <v>8</v>
      </c>
    </row>
    <row r="22" spans="1:10" x14ac:dyDescent="0.35">
      <c r="A22" s="6">
        <v>46242</v>
      </c>
      <c r="B22" s="2" t="s">
        <v>49</v>
      </c>
      <c r="C22" s="2" t="s">
        <v>75</v>
      </c>
      <c r="D22" s="2">
        <v>2</v>
      </c>
      <c r="E22" s="7">
        <v>1500</v>
      </c>
      <c r="F22" s="8">
        <v>0.1</v>
      </c>
      <c r="G22" s="9">
        <f t="shared" si="0"/>
        <v>2700</v>
      </c>
      <c r="H22" s="4" t="str">
        <f>VLOOKUP(B22,'Store Master'!$A$2:$B$7,2,0)</f>
        <v>Vijayawada</v>
      </c>
      <c r="I22" s="4" t="str">
        <f t="shared" si="1"/>
        <v>No</v>
      </c>
      <c r="J22">
        <f t="shared" si="2"/>
        <v>8</v>
      </c>
    </row>
    <row r="23" spans="1:10" x14ac:dyDescent="0.35">
      <c r="A23" s="6">
        <v>46242</v>
      </c>
      <c r="B23" s="2" t="s">
        <v>64</v>
      </c>
      <c r="C23" s="2" t="s">
        <v>74</v>
      </c>
      <c r="D23" s="2">
        <v>1</v>
      </c>
      <c r="E23" s="7">
        <v>1050</v>
      </c>
      <c r="F23" s="8">
        <v>0.25</v>
      </c>
      <c r="G23" s="9">
        <f t="shared" si="0"/>
        <v>787.5</v>
      </c>
      <c r="H23" s="4" t="str">
        <f>VLOOKUP(B23,'Store Master'!$A$2:$B$7,2,0)</f>
        <v>Warangal</v>
      </c>
      <c r="I23" s="4" t="str">
        <f t="shared" si="1"/>
        <v>Yes</v>
      </c>
      <c r="J23">
        <f t="shared" si="2"/>
        <v>8</v>
      </c>
    </row>
    <row r="24" spans="1:10" x14ac:dyDescent="0.35">
      <c r="A24" s="6">
        <v>46242</v>
      </c>
      <c r="B24" s="2" t="s">
        <v>49</v>
      </c>
      <c r="C24" s="2" t="s">
        <v>75</v>
      </c>
      <c r="D24" s="2">
        <v>3</v>
      </c>
      <c r="E24" s="7">
        <v>4700</v>
      </c>
      <c r="F24" s="8">
        <v>0</v>
      </c>
      <c r="G24" s="9">
        <f t="shared" si="0"/>
        <v>14100</v>
      </c>
      <c r="H24" s="4" t="str">
        <f>VLOOKUP(B24,'Store Master'!$A$2:$B$7,2,0)</f>
        <v>Vijayawada</v>
      </c>
      <c r="I24" s="4" t="str">
        <f t="shared" si="1"/>
        <v>No</v>
      </c>
      <c r="J24">
        <f t="shared" si="2"/>
        <v>8</v>
      </c>
    </row>
    <row r="25" spans="1:10" x14ac:dyDescent="0.35">
      <c r="A25" s="6">
        <v>46243</v>
      </c>
      <c r="B25" s="2" t="s">
        <v>56</v>
      </c>
      <c r="C25" s="2" t="s">
        <v>75</v>
      </c>
      <c r="D25" s="2">
        <v>3</v>
      </c>
      <c r="E25" s="7">
        <v>5350</v>
      </c>
      <c r="F25" s="8">
        <v>0.1</v>
      </c>
      <c r="G25" s="9">
        <f t="shared" si="0"/>
        <v>14445</v>
      </c>
      <c r="H25" s="4" t="str">
        <f>VLOOKUP(B25,'Store Master'!$A$2:$B$7,2,0)</f>
        <v>Bengaluru</v>
      </c>
      <c r="I25" s="4" t="str">
        <f t="shared" si="1"/>
        <v>No</v>
      </c>
      <c r="J25">
        <f t="shared" si="2"/>
        <v>8</v>
      </c>
    </row>
    <row r="26" spans="1:10" x14ac:dyDescent="0.35">
      <c r="A26" s="6">
        <v>46243</v>
      </c>
      <c r="B26" s="2" t="s">
        <v>49</v>
      </c>
      <c r="C26" s="2" t="s">
        <v>74</v>
      </c>
      <c r="D26" s="2">
        <v>1</v>
      </c>
      <c r="E26" s="7">
        <v>1950</v>
      </c>
      <c r="F26" s="8">
        <v>0.25</v>
      </c>
      <c r="G26" s="9">
        <f t="shared" si="0"/>
        <v>1462.5</v>
      </c>
      <c r="H26" s="4" t="str">
        <f>VLOOKUP(B26,'Store Master'!$A$2:$B$7,2,0)</f>
        <v>Vijayawada</v>
      </c>
      <c r="I26" s="4" t="str">
        <f t="shared" si="1"/>
        <v>Yes</v>
      </c>
      <c r="J26">
        <f t="shared" si="2"/>
        <v>8</v>
      </c>
    </row>
    <row r="27" spans="1:10" x14ac:dyDescent="0.35">
      <c r="A27" s="6">
        <v>46243</v>
      </c>
      <c r="B27" s="2" t="s">
        <v>53</v>
      </c>
      <c r="C27" s="2" t="s">
        <v>75</v>
      </c>
      <c r="D27" s="2">
        <v>3</v>
      </c>
      <c r="E27" s="7">
        <v>4300</v>
      </c>
      <c r="F27" s="8">
        <v>0.1</v>
      </c>
      <c r="G27" s="9">
        <f t="shared" si="0"/>
        <v>11610</v>
      </c>
      <c r="H27" s="4" t="str">
        <f>VLOOKUP(B27,'Store Master'!$A$2:$B$7,2,0)</f>
        <v>Visakhapatnam</v>
      </c>
      <c r="I27" s="4" t="str">
        <f t="shared" si="1"/>
        <v>No</v>
      </c>
      <c r="J27">
        <f t="shared" si="2"/>
        <v>8</v>
      </c>
    </row>
    <row r="28" spans="1:10" x14ac:dyDescent="0.35">
      <c r="A28" s="6">
        <v>46244</v>
      </c>
      <c r="B28" s="2" t="s">
        <v>64</v>
      </c>
      <c r="C28" s="2" t="s">
        <v>74</v>
      </c>
      <c r="D28" s="2">
        <v>2</v>
      </c>
      <c r="E28" s="7">
        <v>1750</v>
      </c>
      <c r="F28" s="8">
        <v>0.15</v>
      </c>
      <c r="G28" s="9">
        <f t="shared" si="0"/>
        <v>2975</v>
      </c>
      <c r="H28" s="4" t="str">
        <f>VLOOKUP(B28,'Store Master'!$A$2:$B$7,2,0)</f>
        <v>Warangal</v>
      </c>
      <c r="I28" s="4" t="str">
        <f t="shared" si="1"/>
        <v>No</v>
      </c>
      <c r="J28">
        <f t="shared" si="2"/>
        <v>8</v>
      </c>
    </row>
    <row r="29" spans="1:10" x14ac:dyDescent="0.35">
      <c r="A29" s="6">
        <v>46244</v>
      </c>
      <c r="B29" s="2" t="s">
        <v>60</v>
      </c>
      <c r="C29" s="2" t="s">
        <v>77</v>
      </c>
      <c r="D29" s="2">
        <v>3</v>
      </c>
      <c r="E29" s="7">
        <v>12350</v>
      </c>
      <c r="F29" s="8">
        <v>0.1</v>
      </c>
      <c r="G29" s="9">
        <f t="shared" si="0"/>
        <v>33345</v>
      </c>
      <c r="H29" s="4" t="str">
        <f>VLOOKUP(B29,'Store Master'!$A$2:$B$7,2,0)</f>
        <v>Chennai</v>
      </c>
      <c r="I29" s="4" t="str">
        <f t="shared" si="1"/>
        <v>No</v>
      </c>
      <c r="J29">
        <f t="shared" si="2"/>
        <v>8</v>
      </c>
    </row>
    <row r="30" spans="1:10" x14ac:dyDescent="0.35">
      <c r="A30" s="6">
        <v>46245</v>
      </c>
      <c r="B30" s="2" t="s">
        <v>60</v>
      </c>
      <c r="C30" s="2" t="s">
        <v>74</v>
      </c>
      <c r="D30" s="2">
        <v>3</v>
      </c>
      <c r="E30" s="7">
        <v>3350</v>
      </c>
      <c r="F30" s="8">
        <v>0.15</v>
      </c>
      <c r="G30" s="9">
        <f t="shared" si="0"/>
        <v>8542.5</v>
      </c>
      <c r="H30" s="4" t="str">
        <f>VLOOKUP(B30,'Store Master'!$A$2:$B$7,2,0)</f>
        <v>Chennai</v>
      </c>
      <c r="I30" s="4" t="str">
        <f t="shared" si="1"/>
        <v>No</v>
      </c>
      <c r="J30">
        <f t="shared" si="2"/>
        <v>8</v>
      </c>
    </row>
    <row r="31" spans="1:10" x14ac:dyDescent="0.35">
      <c r="A31" s="6">
        <v>46245</v>
      </c>
      <c r="B31" s="2" t="s">
        <v>56</v>
      </c>
      <c r="C31" s="2" t="s">
        <v>76</v>
      </c>
      <c r="D31" s="2">
        <v>3</v>
      </c>
      <c r="E31" s="7">
        <v>3200</v>
      </c>
      <c r="F31" s="8">
        <v>0.15</v>
      </c>
      <c r="G31" s="9">
        <f t="shared" si="0"/>
        <v>8160</v>
      </c>
      <c r="H31" s="4" t="str">
        <f>VLOOKUP(B31,'Store Master'!$A$2:$B$7,2,0)</f>
        <v>Bengaluru</v>
      </c>
      <c r="I31" s="4" t="str">
        <f t="shared" si="1"/>
        <v>No</v>
      </c>
      <c r="J31">
        <f t="shared" si="2"/>
        <v>8</v>
      </c>
    </row>
    <row r="32" spans="1:10" x14ac:dyDescent="0.35">
      <c r="A32" s="6">
        <v>46245</v>
      </c>
      <c r="B32" s="2" t="s">
        <v>53</v>
      </c>
      <c r="C32" s="2" t="s">
        <v>76</v>
      </c>
      <c r="D32" s="2">
        <v>3</v>
      </c>
      <c r="E32" s="7">
        <v>3600</v>
      </c>
      <c r="F32" s="8">
        <v>0.15</v>
      </c>
      <c r="G32" s="9">
        <f t="shared" si="0"/>
        <v>9180</v>
      </c>
      <c r="H32" s="4" t="str">
        <f>VLOOKUP(B32,'Store Master'!$A$2:$B$7,2,0)</f>
        <v>Visakhapatnam</v>
      </c>
      <c r="I32" s="4" t="str">
        <f t="shared" si="1"/>
        <v>No</v>
      </c>
      <c r="J32">
        <f t="shared" si="2"/>
        <v>8</v>
      </c>
    </row>
    <row r="33" spans="1:10" x14ac:dyDescent="0.35">
      <c r="A33" s="6">
        <v>46246</v>
      </c>
      <c r="B33" s="2" t="s">
        <v>49</v>
      </c>
      <c r="C33" s="2" t="s">
        <v>74</v>
      </c>
      <c r="D33" s="2">
        <v>1</v>
      </c>
      <c r="E33" s="7">
        <v>1700</v>
      </c>
      <c r="F33" s="8">
        <v>0.05</v>
      </c>
      <c r="G33" s="9">
        <f t="shared" si="0"/>
        <v>1615</v>
      </c>
      <c r="H33" s="4" t="str">
        <f>VLOOKUP(B33,'Store Master'!$A$2:$B$7,2,0)</f>
        <v>Vijayawada</v>
      </c>
      <c r="I33" s="4" t="str">
        <f t="shared" si="1"/>
        <v>No</v>
      </c>
      <c r="J33">
        <f t="shared" si="2"/>
        <v>8</v>
      </c>
    </row>
    <row r="34" spans="1:10" x14ac:dyDescent="0.35">
      <c r="A34" s="6">
        <v>46246</v>
      </c>
      <c r="B34" s="2" t="s">
        <v>49</v>
      </c>
      <c r="C34" s="2" t="s">
        <v>76</v>
      </c>
      <c r="D34" s="2">
        <v>1</v>
      </c>
      <c r="E34" s="7">
        <v>3300</v>
      </c>
      <c r="F34" s="8">
        <v>0.1</v>
      </c>
      <c r="G34" s="9">
        <f t="shared" si="0"/>
        <v>2970</v>
      </c>
      <c r="H34" s="4" t="str">
        <f>VLOOKUP(B34,'Store Master'!$A$2:$B$7,2,0)</f>
        <v>Vijayawada</v>
      </c>
      <c r="I34" s="4" t="str">
        <f t="shared" si="1"/>
        <v>No</v>
      </c>
      <c r="J34">
        <f t="shared" si="2"/>
        <v>8</v>
      </c>
    </row>
    <row r="35" spans="1:10" x14ac:dyDescent="0.35">
      <c r="A35" s="6">
        <v>46246</v>
      </c>
      <c r="B35" s="2" t="s">
        <v>56</v>
      </c>
      <c r="C35" s="2" t="s">
        <v>74</v>
      </c>
      <c r="D35" s="2">
        <v>2</v>
      </c>
      <c r="E35" s="7">
        <v>2450</v>
      </c>
      <c r="F35" s="8">
        <v>0.15</v>
      </c>
      <c r="G35" s="9">
        <f t="shared" si="0"/>
        <v>4165</v>
      </c>
      <c r="H35" s="4" t="str">
        <f>VLOOKUP(B35,'Store Master'!$A$2:$B$7,2,0)</f>
        <v>Bengaluru</v>
      </c>
      <c r="I35" s="4" t="str">
        <f t="shared" si="1"/>
        <v>No</v>
      </c>
      <c r="J35">
        <f t="shared" si="2"/>
        <v>8</v>
      </c>
    </row>
    <row r="36" spans="1:10" x14ac:dyDescent="0.35">
      <c r="A36" s="6">
        <v>46246</v>
      </c>
      <c r="B36" s="2" t="s">
        <v>49</v>
      </c>
      <c r="C36" s="2" t="s">
        <v>78</v>
      </c>
      <c r="D36" s="2">
        <v>1</v>
      </c>
      <c r="E36" s="7">
        <v>12050</v>
      </c>
      <c r="F36" s="8">
        <v>0.05</v>
      </c>
      <c r="G36" s="9">
        <f t="shared" si="0"/>
        <v>11447.5</v>
      </c>
      <c r="H36" s="4" t="str">
        <f>VLOOKUP(B36,'Store Master'!$A$2:$B$7,2,0)</f>
        <v>Vijayawada</v>
      </c>
      <c r="I36" s="4" t="str">
        <f t="shared" si="1"/>
        <v>No</v>
      </c>
      <c r="J36">
        <f t="shared" si="2"/>
        <v>8</v>
      </c>
    </row>
    <row r="37" spans="1:10" x14ac:dyDescent="0.35">
      <c r="A37" s="6">
        <v>46247</v>
      </c>
      <c r="B37" s="2" t="s">
        <v>45</v>
      </c>
      <c r="C37" s="2" t="s">
        <v>76</v>
      </c>
      <c r="D37" s="2">
        <v>1</v>
      </c>
      <c r="E37" s="7">
        <v>950</v>
      </c>
      <c r="F37" s="8">
        <v>0.1</v>
      </c>
      <c r="G37" s="9">
        <f t="shared" si="0"/>
        <v>855</v>
      </c>
      <c r="H37" s="4" t="str">
        <f>VLOOKUP(B37,'Store Master'!$A$2:$B$7,2,0)</f>
        <v>Hyderabad</v>
      </c>
      <c r="I37" s="4" t="str">
        <f t="shared" si="1"/>
        <v>No</v>
      </c>
      <c r="J37">
        <f t="shared" si="2"/>
        <v>8</v>
      </c>
    </row>
    <row r="38" spans="1:10" x14ac:dyDescent="0.35">
      <c r="A38" s="6">
        <v>46247</v>
      </c>
      <c r="B38" s="2" t="s">
        <v>56</v>
      </c>
      <c r="C38" s="2" t="s">
        <v>78</v>
      </c>
      <c r="D38" s="2">
        <v>2</v>
      </c>
      <c r="E38" s="7">
        <v>13100</v>
      </c>
      <c r="F38" s="8">
        <v>0</v>
      </c>
      <c r="G38" s="9">
        <f t="shared" si="0"/>
        <v>26200</v>
      </c>
      <c r="H38" s="4" t="str">
        <f>VLOOKUP(B38,'Store Master'!$A$2:$B$7,2,0)</f>
        <v>Bengaluru</v>
      </c>
      <c r="I38" s="4" t="str">
        <f t="shared" si="1"/>
        <v>No</v>
      </c>
      <c r="J38">
        <f t="shared" si="2"/>
        <v>8</v>
      </c>
    </row>
    <row r="39" spans="1:10" x14ac:dyDescent="0.35">
      <c r="A39" s="6">
        <v>46247</v>
      </c>
      <c r="B39" s="2" t="s">
        <v>64</v>
      </c>
      <c r="C39" s="2" t="s">
        <v>78</v>
      </c>
      <c r="D39" s="2">
        <v>2</v>
      </c>
      <c r="E39" s="7">
        <v>9550</v>
      </c>
      <c r="F39" s="8">
        <v>0</v>
      </c>
      <c r="G39" s="9">
        <f t="shared" si="0"/>
        <v>19100</v>
      </c>
      <c r="H39" s="4" t="str">
        <f>VLOOKUP(B39,'Store Master'!$A$2:$B$7,2,0)</f>
        <v>Warangal</v>
      </c>
      <c r="I39" s="4" t="str">
        <f t="shared" si="1"/>
        <v>No</v>
      </c>
      <c r="J39">
        <f t="shared" si="2"/>
        <v>8</v>
      </c>
    </row>
    <row r="40" spans="1:10" x14ac:dyDescent="0.35">
      <c r="A40" s="6">
        <v>46248</v>
      </c>
      <c r="B40" s="2" t="s">
        <v>64</v>
      </c>
      <c r="C40" s="2" t="s">
        <v>76</v>
      </c>
      <c r="D40" s="2">
        <v>3</v>
      </c>
      <c r="E40" s="7">
        <v>1250</v>
      </c>
      <c r="F40" s="8">
        <v>0.2</v>
      </c>
      <c r="G40" s="9">
        <f t="shared" si="0"/>
        <v>3000</v>
      </c>
      <c r="H40" s="4" t="str">
        <f>VLOOKUP(B40,'Store Master'!$A$2:$B$7,2,0)</f>
        <v>Warangal</v>
      </c>
      <c r="I40" s="4" t="str">
        <f t="shared" si="1"/>
        <v>No</v>
      </c>
      <c r="J40">
        <f t="shared" si="2"/>
        <v>8</v>
      </c>
    </row>
    <row r="41" spans="1:10" x14ac:dyDescent="0.35">
      <c r="A41" s="6">
        <v>46248</v>
      </c>
      <c r="B41" s="2" t="s">
        <v>45</v>
      </c>
      <c r="C41" s="2" t="s">
        <v>75</v>
      </c>
      <c r="D41" s="2">
        <v>2</v>
      </c>
      <c r="E41" s="7">
        <v>2300</v>
      </c>
      <c r="F41" s="8">
        <v>0.15</v>
      </c>
      <c r="G41" s="9">
        <f t="shared" si="0"/>
        <v>3910</v>
      </c>
      <c r="H41" s="4" t="str">
        <f>VLOOKUP(B41,'Store Master'!$A$2:$B$7,2,0)</f>
        <v>Hyderabad</v>
      </c>
      <c r="I41" s="4" t="str">
        <f t="shared" si="1"/>
        <v>No</v>
      </c>
      <c r="J41">
        <f t="shared" si="2"/>
        <v>8</v>
      </c>
    </row>
    <row r="42" spans="1:10" x14ac:dyDescent="0.35">
      <c r="A42" s="6">
        <v>46248</v>
      </c>
      <c r="B42" s="2" t="s">
        <v>64</v>
      </c>
      <c r="C42" s="2" t="s">
        <v>74</v>
      </c>
      <c r="D42" s="2">
        <v>3</v>
      </c>
      <c r="E42" s="7">
        <v>3400</v>
      </c>
      <c r="F42" s="8">
        <v>0.1</v>
      </c>
      <c r="G42" s="9">
        <f t="shared" si="0"/>
        <v>9180</v>
      </c>
      <c r="H42" s="4" t="str">
        <f>VLOOKUP(B42,'Store Master'!$A$2:$B$7,2,0)</f>
        <v>Warangal</v>
      </c>
      <c r="I42" s="4" t="str">
        <f t="shared" si="1"/>
        <v>No</v>
      </c>
      <c r="J42">
        <f t="shared" si="2"/>
        <v>8</v>
      </c>
    </row>
    <row r="43" spans="1:10" x14ac:dyDescent="0.35">
      <c r="A43" s="6">
        <v>46248</v>
      </c>
      <c r="B43" s="2" t="s">
        <v>56</v>
      </c>
      <c r="C43" s="2" t="s">
        <v>77</v>
      </c>
      <c r="D43" s="2">
        <v>3</v>
      </c>
      <c r="E43" s="7">
        <v>14750</v>
      </c>
      <c r="F43" s="8">
        <v>0.3</v>
      </c>
      <c r="G43" s="9">
        <f t="shared" si="0"/>
        <v>30974.999999999996</v>
      </c>
      <c r="H43" s="4" t="str">
        <f>VLOOKUP(B43,'Store Master'!$A$2:$B$7,2,0)</f>
        <v>Bengaluru</v>
      </c>
      <c r="I43" s="4" t="str">
        <f t="shared" si="1"/>
        <v>Yes</v>
      </c>
      <c r="J43">
        <f t="shared" si="2"/>
        <v>8</v>
      </c>
    </row>
    <row r="44" spans="1:10" x14ac:dyDescent="0.35">
      <c r="A44" s="6">
        <v>46248</v>
      </c>
      <c r="B44" s="2" t="s">
        <v>49</v>
      </c>
      <c r="C44" s="2" t="s">
        <v>74</v>
      </c>
      <c r="D44" s="2">
        <v>3</v>
      </c>
      <c r="E44" s="7">
        <v>2500</v>
      </c>
      <c r="F44" s="8">
        <v>0.25</v>
      </c>
      <c r="G44" s="9">
        <f t="shared" si="0"/>
        <v>5625</v>
      </c>
      <c r="H44" s="4" t="str">
        <f>VLOOKUP(B44,'Store Master'!$A$2:$B$7,2,0)</f>
        <v>Vijayawada</v>
      </c>
      <c r="I44" s="4" t="str">
        <f t="shared" si="1"/>
        <v>Yes</v>
      </c>
      <c r="J44">
        <f t="shared" si="2"/>
        <v>8</v>
      </c>
    </row>
    <row r="45" spans="1:10" x14ac:dyDescent="0.35">
      <c r="A45" s="6">
        <v>46249</v>
      </c>
      <c r="B45" s="2" t="s">
        <v>45</v>
      </c>
      <c r="C45" s="2" t="s">
        <v>74</v>
      </c>
      <c r="D45" s="2">
        <v>1</v>
      </c>
      <c r="E45" s="7">
        <v>1800</v>
      </c>
      <c r="F45" s="8">
        <v>0.05</v>
      </c>
      <c r="G45" s="9">
        <f t="shared" si="0"/>
        <v>1710</v>
      </c>
      <c r="H45" s="4" t="str">
        <f>VLOOKUP(B45,'Store Master'!$A$2:$B$7,2,0)</f>
        <v>Hyderabad</v>
      </c>
      <c r="I45" s="4" t="str">
        <f t="shared" si="1"/>
        <v>No</v>
      </c>
      <c r="J45">
        <f t="shared" si="2"/>
        <v>8</v>
      </c>
    </row>
    <row r="46" spans="1:10" x14ac:dyDescent="0.35">
      <c r="A46" s="6">
        <v>46249</v>
      </c>
      <c r="B46" s="2" t="s">
        <v>56</v>
      </c>
      <c r="C46" s="2" t="s">
        <v>76</v>
      </c>
      <c r="D46" s="2">
        <v>2</v>
      </c>
      <c r="E46" s="7">
        <v>1700</v>
      </c>
      <c r="F46" s="8">
        <v>0</v>
      </c>
      <c r="G46" s="9">
        <f t="shared" si="0"/>
        <v>3400</v>
      </c>
      <c r="H46" s="4" t="str">
        <f>VLOOKUP(B46,'Store Master'!$A$2:$B$7,2,0)</f>
        <v>Bengaluru</v>
      </c>
      <c r="I46" s="4" t="str">
        <f t="shared" si="1"/>
        <v>No</v>
      </c>
      <c r="J46">
        <f t="shared" si="2"/>
        <v>8</v>
      </c>
    </row>
    <row r="47" spans="1:10" x14ac:dyDescent="0.35">
      <c r="A47" s="6">
        <v>46249</v>
      </c>
      <c r="B47" s="2" t="s">
        <v>60</v>
      </c>
      <c r="C47" s="2" t="s">
        <v>77</v>
      </c>
      <c r="D47" s="2">
        <v>1</v>
      </c>
      <c r="E47" s="7">
        <v>30200</v>
      </c>
      <c r="F47" s="8">
        <v>0.1</v>
      </c>
      <c r="G47" s="9">
        <f t="shared" si="0"/>
        <v>27180</v>
      </c>
      <c r="H47" s="4" t="str">
        <f>VLOOKUP(B47,'Store Master'!$A$2:$B$7,2,0)</f>
        <v>Chennai</v>
      </c>
      <c r="I47" s="4" t="str">
        <f t="shared" si="1"/>
        <v>No</v>
      </c>
      <c r="J47">
        <f t="shared" si="2"/>
        <v>8</v>
      </c>
    </row>
    <row r="48" spans="1:10" x14ac:dyDescent="0.35">
      <c r="A48" s="6">
        <v>46250</v>
      </c>
      <c r="B48" s="2" t="s">
        <v>64</v>
      </c>
      <c r="C48" s="2" t="s">
        <v>74</v>
      </c>
      <c r="D48" s="2">
        <v>2</v>
      </c>
      <c r="E48" s="7">
        <v>2900</v>
      </c>
      <c r="F48" s="8">
        <v>0.2</v>
      </c>
      <c r="G48" s="9">
        <f t="shared" si="0"/>
        <v>4640</v>
      </c>
      <c r="H48" s="4" t="str">
        <f>VLOOKUP(B48,'Store Master'!$A$2:$B$7,2,0)</f>
        <v>Warangal</v>
      </c>
      <c r="I48" s="4" t="str">
        <f t="shared" si="1"/>
        <v>No</v>
      </c>
      <c r="J48">
        <f t="shared" si="2"/>
        <v>8</v>
      </c>
    </row>
    <row r="49" spans="1:10" x14ac:dyDescent="0.35">
      <c r="A49" s="6">
        <v>46250</v>
      </c>
      <c r="B49" s="2" t="s">
        <v>60</v>
      </c>
      <c r="C49" s="2" t="s">
        <v>78</v>
      </c>
      <c r="D49" s="2">
        <v>3</v>
      </c>
      <c r="E49" s="7">
        <v>10200</v>
      </c>
      <c r="F49" s="8">
        <v>0.2</v>
      </c>
      <c r="G49" s="9">
        <f t="shared" si="0"/>
        <v>24480</v>
      </c>
      <c r="H49" s="4" t="str">
        <f>VLOOKUP(B49,'Store Master'!$A$2:$B$7,2,0)</f>
        <v>Chennai</v>
      </c>
      <c r="I49" s="4" t="str">
        <f t="shared" si="1"/>
        <v>No</v>
      </c>
      <c r="J49">
        <f t="shared" si="2"/>
        <v>8</v>
      </c>
    </row>
    <row r="50" spans="1:10" x14ac:dyDescent="0.35">
      <c r="A50" s="6">
        <v>46250</v>
      </c>
      <c r="B50" s="2" t="s">
        <v>60</v>
      </c>
      <c r="C50" s="2" t="s">
        <v>75</v>
      </c>
      <c r="D50" s="2">
        <v>3</v>
      </c>
      <c r="E50" s="7">
        <v>3350</v>
      </c>
      <c r="F50" s="8">
        <v>0.2</v>
      </c>
      <c r="G50" s="9">
        <f t="shared" si="0"/>
        <v>8040</v>
      </c>
      <c r="H50" s="4" t="str">
        <f>VLOOKUP(B50,'Store Master'!$A$2:$B$7,2,0)</f>
        <v>Chennai</v>
      </c>
      <c r="I50" s="4" t="str">
        <f t="shared" si="1"/>
        <v>No</v>
      </c>
      <c r="J50">
        <f t="shared" si="2"/>
        <v>8</v>
      </c>
    </row>
    <row r="51" spans="1:10" x14ac:dyDescent="0.35">
      <c r="A51" s="6">
        <v>46251</v>
      </c>
      <c r="B51" s="2" t="s">
        <v>64</v>
      </c>
      <c r="C51" s="2" t="s">
        <v>74</v>
      </c>
      <c r="D51" s="2">
        <v>2</v>
      </c>
      <c r="E51" s="7">
        <v>2650</v>
      </c>
      <c r="F51" s="8">
        <v>0</v>
      </c>
      <c r="G51" s="9">
        <f t="shared" si="0"/>
        <v>5300</v>
      </c>
      <c r="H51" s="4" t="str">
        <f>VLOOKUP(B51,'Store Master'!$A$2:$B$7,2,0)</f>
        <v>Warangal</v>
      </c>
      <c r="I51" s="4" t="str">
        <f t="shared" si="1"/>
        <v>No</v>
      </c>
      <c r="J51">
        <f t="shared" si="2"/>
        <v>8</v>
      </c>
    </row>
    <row r="52" spans="1:10" x14ac:dyDescent="0.35">
      <c r="A52" s="6">
        <v>46251</v>
      </c>
      <c r="B52" s="2" t="s">
        <v>53</v>
      </c>
      <c r="C52" s="2" t="s">
        <v>78</v>
      </c>
      <c r="D52" s="2">
        <v>3</v>
      </c>
      <c r="E52" s="7">
        <v>5400</v>
      </c>
      <c r="F52" s="8">
        <v>0.1</v>
      </c>
      <c r="G52" s="9">
        <f t="shared" si="0"/>
        <v>14580</v>
      </c>
      <c r="H52" s="4" t="str">
        <f>VLOOKUP(B52,'Store Master'!$A$2:$B$7,2,0)</f>
        <v>Visakhapatnam</v>
      </c>
      <c r="I52" s="4" t="str">
        <f t="shared" si="1"/>
        <v>No</v>
      </c>
      <c r="J52">
        <f t="shared" si="2"/>
        <v>8</v>
      </c>
    </row>
    <row r="53" spans="1:10" x14ac:dyDescent="0.35">
      <c r="A53" s="6">
        <v>46251</v>
      </c>
      <c r="B53" s="2" t="s">
        <v>64</v>
      </c>
      <c r="C53" s="2" t="s">
        <v>75</v>
      </c>
      <c r="D53" s="2">
        <v>1</v>
      </c>
      <c r="E53" s="7">
        <v>2350</v>
      </c>
      <c r="F53" s="8">
        <v>0.1</v>
      </c>
      <c r="G53" s="9">
        <f t="shared" si="0"/>
        <v>2115</v>
      </c>
      <c r="H53" s="4" t="str">
        <f>VLOOKUP(B53,'Store Master'!$A$2:$B$7,2,0)</f>
        <v>Warangal</v>
      </c>
      <c r="I53" s="4" t="str">
        <f t="shared" si="1"/>
        <v>No</v>
      </c>
      <c r="J53">
        <f t="shared" si="2"/>
        <v>8</v>
      </c>
    </row>
    <row r="54" spans="1:10" x14ac:dyDescent="0.35">
      <c r="A54" s="6">
        <v>46252</v>
      </c>
      <c r="B54" s="2" t="s">
        <v>53</v>
      </c>
      <c r="C54" s="2" t="s">
        <v>78</v>
      </c>
      <c r="D54" s="2">
        <v>3</v>
      </c>
      <c r="E54" s="7">
        <v>6250</v>
      </c>
      <c r="F54" s="8">
        <v>0.3</v>
      </c>
      <c r="G54" s="9">
        <f t="shared" si="0"/>
        <v>13125</v>
      </c>
      <c r="H54" s="4" t="str">
        <f>VLOOKUP(B54,'Store Master'!$A$2:$B$7,2,0)</f>
        <v>Visakhapatnam</v>
      </c>
      <c r="I54" s="4" t="str">
        <f t="shared" si="1"/>
        <v>Yes</v>
      </c>
      <c r="J54">
        <f t="shared" si="2"/>
        <v>8</v>
      </c>
    </row>
    <row r="55" spans="1:10" x14ac:dyDescent="0.35">
      <c r="A55" s="6">
        <v>46252</v>
      </c>
      <c r="B55" s="2" t="s">
        <v>56</v>
      </c>
      <c r="C55" s="2" t="s">
        <v>76</v>
      </c>
      <c r="D55" s="2">
        <v>3</v>
      </c>
      <c r="E55" s="7">
        <v>3200</v>
      </c>
      <c r="F55" s="8">
        <v>0.15</v>
      </c>
      <c r="G55" s="9">
        <f t="shared" si="0"/>
        <v>8160</v>
      </c>
      <c r="H55" s="4" t="str">
        <f>VLOOKUP(B55,'Store Master'!$A$2:$B$7,2,0)</f>
        <v>Bengaluru</v>
      </c>
      <c r="I55" s="4" t="str">
        <f t="shared" si="1"/>
        <v>No</v>
      </c>
      <c r="J55">
        <f t="shared" si="2"/>
        <v>8</v>
      </c>
    </row>
    <row r="56" spans="1:10" x14ac:dyDescent="0.35">
      <c r="A56" s="6">
        <v>46252</v>
      </c>
      <c r="B56" s="2" t="s">
        <v>56</v>
      </c>
      <c r="C56" s="2" t="s">
        <v>77</v>
      </c>
      <c r="D56" s="2">
        <v>2</v>
      </c>
      <c r="E56" s="7">
        <v>10650</v>
      </c>
      <c r="F56" s="8">
        <v>0.2</v>
      </c>
      <c r="G56" s="9">
        <f t="shared" si="0"/>
        <v>17040</v>
      </c>
      <c r="H56" s="4" t="str">
        <f>VLOOKUP(B56,'Store Master'!$A$2:$B$7,2,0)</f>
        <v>Bengaluru</v>
      </c>
      <c r="I56" s="4" t="str">
        <f t="shared" si="1"/>
        <v>No</v>
      </c>
      <c r="J56">
        <f t="shared" si="2"/>
        <v>8</v>
      </c>
    </row>
    <row r="57" spans="1:10" x14ac:dyDescent="0.35">
      <c r="A57" s="6">
        <v>46253</v>
      </c>
      <c r="B57" s="2" t="s">
        <v>53</v>
      </c>
      <c r="C57" s="2" t="s">
        <v>77</v>
      </c>
      <c r="D57" s="2">
        <v>3</v>
      </c>
      <c r="E57" s="7">
        <v>17100</v>
      </c>
      <c r="F57" s="8">
        <v>0.3</v>
      </c>
      <c r="G57" s="9">
        <f t="shared" si="0"/>
        <v>35910</v>
      </c>
      <c r="H57" s="4" t="str">
        <f>VLOOKUP(B57,'Store Master'!$A$2:$B$7,2,0)</f>
        <v>Visakhapatnam</v>
      </c>
      <c r="I57" s="4" t="str">
        <f t="shared" si="1"/>
        <v>Yes</v>
      </c>
      <c r="J57">
        <f t="shared" si="2"/>
        <v>8</v>
      </c>
    </row>
    <row r="58" spans="1:10" x14ac:dyDescent="0.35">
      <c r="A58" s="6">
        <v>46253</v>
      </c>
      <c r="B58" s="2" t="s">
        <v>56</v>
      </c>
      <c r="C58" s="2" t="s">
        <v>77</v>
      </c>
      <c r="D58" s="2">
        <v>2</v>
      </c>
      <c r="E58" s="7">
        <v>10350</v>
      </c>
      <c r="F58" s="8">
        <v>0.15</v>
      </c>
      <c r="G58" s="9">
        <f t="shared" si="0"/>
        <v>17595</v>
      </c>
      <c r="H58" s="4" t="str">
        <f>VLOOKUP(B58,'Store Master'!$A$2:$B$7,2,0)</f>
        <v>Bengaluru</v>
      </c>
      <c r="I58" s="4" t="str">
        <f t="shared" si="1"/>
        <v>No</v>
      </c>
      <c r="J58">
        <f t="shared" si="2"/>
        <v>8</v>
      </c>
    </row>
    <row r="59" spans="1:10" x14ac:dyDescent="0.35">
      <c r="A59" s="6">
        <v>46253</v>
      </c>
      <c r="B59" s="2" t="s">
        <v>45</v>
      </c>
      <c r="C59" s="2" t="s">
        <v>78</v>
      </c>
      <c r="D59" s="2">
        <v>2</v>
      </c>
      <c r="E59" s="7">
        <v>7200</v>
      </c>
      <c r="F59" s="8">
        <v>0.1</v>
      </c>
      <c r="G59" s="9">
        <f t="shared" si="0"/>
        <v>12960</v>
      </c>
      <c r="H59" s="4" t="str">
        <f>VLOOKUP(B59,'Store Master'!$A$2:$B$7,2,0)</f>
        <v>Hyderabad</v>
      </c>
      <c r="I59" s="4" t="str">
        <f t="shared" si="1"/>
        <v>No</v>
      </c>
      <c r="J59">
        <f t="shared" si="2"/>
        <v>8</v>
      </c>
    </row>
    <row r="60" spans="1:10" x14ac:dyDescent="0.35">
      <c r="A60" s="6">
        <v>46253</v>
      </c>
      <c r="B60" s="2" t="s">
        <v>56</v>
      </c>
      <c r="C60" s="2" t="s">
        <v>77</v>
      </c>
      <c r="D60" s="2">
        <v>3</v>
      </c>
      <c r="E60" s="7">
        <v>28650</v>
      </c>
      <c r="F60" s="8">
        <v>0.05</v>
      </c>
      <c r="G60" s="9">
        <f t="shared" si="0"/>
        <v>81652.5</v>
      </c>
      <c r="H60" s="4" t="str">
        <f>VLOOKUP(B60,'Store Master'!$A$2:$B$7,2,0)</f>
        <v>Bengaluru</v>
      </c>
      <c r="I60" s="4" t="str">
        <f t="shared" si="1"/>
        <v>No</v>
      </c>
      <c r="J60">
        <f t="shared" si="2"/>
        <v>8</v>
      </c>
    </row>
    <row r="61" spans="1:10" x14ac:dyDescent="0.35">
      <c r="A61" s="6">
        <v>46253</v>
      </c>
      <c r="B61" s="2" t="s">
        <v>56</v>
      </c>
      <c r="C61" s="2" t="s">
        <v>77</v>
      </c>
      <c r="D61" s="2">
        <v>2</v>
      </c>
      <c r="E61" s="7">
        <v>11450</v>
      </c>
      <c r="F61" s="8">
        <v>0.1</v>
      </c>
      <c r="G61" s="9">
        <f t="shared" si="0"/>
        <v>20610</v>
      </c>
      <c r="H61" s="4" t="str">
        <f>VLOOKUP(B61,'Store Master'!$A$2:$B$7,2,0)</f>
        <v>Bengaluru</v>
      </c>
      <c r="I61" s="4" t="str">
        <f t="shared" si="1"/>
        <v>No</v>
      </c>
      <c r="J61">
        <f t="shared" si="2"/>
        <v>8</v>
      </c>
    </row>
    <row r="62" spans="1:10" x14ac:dyDescent="0.35">
      <c r="A62" s="6">
        <v>46254</v>
      </c>
      <c r="B62" s="2" t="s">
        <v>53</v>
      </c>
      <c r="C62" s="2" t="s">
        <v>77</v>
      </c>
      <c r="D62" s="2">
        <v>3</v>
      </c>
      <c r="E62" s="7">
        <v>26650</v>
      </c>
      <c r="F62" s="8">
        <v>0</v>
      </c>
      <c r="G62" s="9">
        <f t="shared" si="0"/>
        <v>79950</v>
      </c>
      <c r="H62" s="4" t="str">
        <f>VLOOKUP(B62,'Store Master'!$A$2:$B$7,2,0)</f>
        <v>Visakhapatnam</v>
      </c>
      <c r="I62" s="4" t="str">
        <f t="shared" si="1"/>
        <v>No</v>
      </c>
      <c r="J62">
        <f t="shared" si="2"/>
        <v>8</v>
      </c>
    </row>
    <row r="63" spans="1:10" x14ac:dyDescent="0.35">
      <c r="A63" s="6">
        <v>46254</v>
      </c>
      <c r="B63" s="2" t="s">
        <v>53</v>
      </c>
      <c r="C63" s="2" t="s">
        <v>74</v>
      </c>
      <c r="D63" s="2">
        <v>1</v>
      </c>
      <c r="E63" s="7">
        <v>3300</v>
      </c>
      <c r="F63" s="8">
        <v>0.15</v>
      </c>
      <c r="G63" s="9">
        <f t="shared" si="0"/>
        <v>2805</v>
      </c>
      <c r="H63" s="4" t="str">
        <f>VLOOKUP(B63,'Store Master'!$A$2:$B$7,2,0)</f>
        <v>Visakhapatnam</v>
      </c>
      <c r="I63" s="4" t="str">
        <f t="shared" si="1"/>
        <v>No</v>
      </c>
      <c r="J63">
        <f t="shared" si="2"/>
        <v>8</v>
      </c>
    </row>
    <row r="64" spans="1:10" x14ac:dyDescent="0.35">
      <c r="A64" s="6">
        <v>46254</v>
      </c>
      <c r="B64" s="2" t="s">
        <v>60</v>
      </c>
      <c r="C64" s="2" t="s">
        <v>78</v>
      </c>
      <c r="D64" s="2">
        <v>3</v>
      </c>
      <c r="E64" s="7">
        <v>10550</v>
      </c>
      <c r="F64" s="8">
        <v>0.3</v>
      </c>
      <c r="G64" s="9">
        <f t="shared" si="0"/>
        <v>22155</v>
      </c>
      <c r="H64" s="4" t="str">
        <f>VLOOKUP(B64,'Store Master'!$A$2:$B$7,2,0)</f>
        <v>Chennai</v>
      </c>
      <c r="I64" s="4" t="str">
        <f t="shared" si="1"/>
        <v>Yes</v>
      </c>
      <c r="J64">
        <f t="shared" si="2"/>
        <v>8</v>
      </c>
    </row>
    <row r="65" spans="1:10" x14ac:dyDescent="0.35">
      <c r="A65" s="6">
        <v>46254</v>
      </c>
      <c r="B65" s="2" t="s">
        <v>56</v>
      </c>
      <c r="C65" s="2" t="s">
        <v>77</v>
      </c>
      <c r="D65" s="2">
        <v>3</v>
      </c>
      <c r="E65" s="7">
        <v>33050</v>
      </c>
      <c r="F65" s="8">
        <v>0.1</v>
      </c>
      <c r="G65" s="9">
        <f t="shared" si="0"/>
        <v>89235</v>
      </c>
      <c r="H65" s="4" t="str">
        <f>VLOOKUP(B65,'Store Master'!$A$2:$B$7,2,0)</f>
        <v>Bengaluru</v>
      </c>
      <c r="I65" s="4" t="str">
        <f t="shared" si="1"/>
        <v>No</v>
      </c>
      <c r="J65">
        <f t="shared" si="2"/>
        <v>8</v>
      </c>
    </row>
    <row r="66" spans="1:10" x14ac:dyDescent="0.35">
      <c r="A66" s="6">
        <v>46254</v>
      </c>
      <c r="B66" s="2" t="s">
        <v>49</v>
      </c>
      <c r="C66" s="2" t="s">
        <v>76</v>
      </c>
      <c r="D66" s="2">
        <v>1</v>
      </c>
      <c r="E66" s="7">
        <v>2150</v>
      </c>
      <c r="F66" s="8">
        <v>0.1</v>
      </c>
      <c r="G66" s="9">
        <f t="shared" si="0"/>
        <v>1935</v>
      </c>
      <c r="H66" s="4" t="str">
        <f>VLOOKUP(B66,'Store Master'!$A$2:$B$7,2,0)</f>
        <v>Vijayawada</v>
      </c>
      <c r="I66" s="4" t="str">
        <f t="shared" si="1"/>
        <v>No</v>
      </c>
      <c r="J66">
        <f t="shared" si="2"/>
        <v>8</v>
      </c>
    </row>
    <row r="67" spans="1:10" x14ac:dyDescent="0.35">
      <c r="A67" s="6">
        <v>46254</v>
      </c>
      <c r="B67" s="2" t="s">
        <v>56</v>
      </c>
      <c r="C67" s="2" t="s">
        <v>76</v>
      </c>
      <c r="D67" s="2">
        <v>2</v>
      </c>
      <c r="E67" s="7">
        <v>2900</v>
      </c>
      <c r="F67" s="8">
        <v>0.15</v>
      </c>
      <c r="G67" s="9">
        <f t="shared" ref="G67:G130" si="3">D67*E67*(1-F67)</f>
        <v>4930</v>
      </c>
      <c r="H67" s="4" t="str">
        <f>VLOOKUP(B67,'Store Master'!$A$2:$B$7,2,0)</f>
        <v>Bengaluru</v>
      </c>
      <c r="I67" s="4" t="str">
        <f t="shared" ref="I67:I130" si="4">IF(F67&gt;20%,"Yes","No")</f>
        <v>No</v>
      </c>
      <c r="J67">
        <f t="shared" ref="J67:J130" si="5">MONTH(A67)</f>
        <v>8</v>
      </c>
    </row>
    <row r="68" spans="1:10" x14ac:dyDescent="0.35">
      <c r="A68" s="6">
        <v>46255</v>
      </c>
      <c r="B68" s="2" t="s">
        <v>64</v>
      </c>
      <c r="C68" s="2" t="s">
        <v>75</v>
      </c>
      <c r="D68" s="2">
        <v>2</v>
      </c>
      <c r="E68" s="7">
        <v>5200</v>
      </c>
      <c r="F68" s="8">
        <v>0.1</v>
      </c>
      <c r="G68" s="9">
        <f t="shared" si="3"/>
        <v>9360</v>
      </c>
      <c r="H68" s="4" t="str">
        <f>VLOOKUP(B68,'Store Master'!$A$2:$B$7,2,0)</f>
        <v>Warangal</v>
      </c>
      <c r="I68" s="4" t="str">
        <f t="shared" si="4"/>
        <v>No</v>
      </c>
      <c r="J68">
        <f t="shared" si="5"/>
        <v>8</v>
      </c>
    </row>
    <row r="69" spans="1:10" x14ac:dyDescent="0.35">
      <c r="A69" s="6">
        <v>46255</v>
      </c>
      <c r="B69" s="2" t="s">
        <v>53</v>
      </c>
      <c r="C69" s="2" t="s">
        <v>78</v>
      </c>
      <c r="D69" s="2">
        <v>1</v>
      </c>
      <c r="E69" s="7">
        <v>14000</v>
      </c>
      <c r="F69" s="8">
        <v>0.1</v>
      </c>
      <c r="G69" s="9">
        <f t="shared" si="3"/>
        <v>12600</v>
      </c>
      <c r="H69" s="4" t="str">
        <f>VLOOKUP(B69,'Store Master'!$A$2:$B$7,2,0)</f>
        <v>Visakhapatnam</v>
      </c>
      <c r="I69" s="4" t="str">
        <f t="shared" si="4"/>
        <v>No</v>
      </c>
      <c r="J69">
        <f t="shared" si="5"/>
        <v>8</v>
      </c>
    </row>
    <row r="70" spans="1:10" x14ac:dyDescent="0.35">
      <c r="A70" s="6">
        <v>46255</v>
      </c>
      <c r="B70" s="2" t="s">
        <v>49</v>
      </c>
      <c r="C70" s="2" t="s">
        <v>77</v>
      </c>
      <c r="D70" s="2">
        <v>1</v>
      </c>
      <c r="E70" s="7">
        <v>27100</v>
      </c>
      <c r="F70" s="8">
        <v>0.05</v>
      </c>
      <c r="G70" s="9">
        <f t="shared" si="3"/>
        <v>25745</v>
      </c>
      <c r="H70" s="4" t="str">
        <f>VLOOKUP(B70,'Store Master'!$A$2:$B$7,2,0)</f>
        <v>Vijayawada</v>
      </c>
      <c r="I70" s="4" t="str">
        <f t="shared" si="4"/>
        <v>No</v>
      </c>
      <c r="J70">
        <f t="shared" si="5"/>
        <v>8</v>
      </c>
    </row>
    <row r="71" spans="1:10" x14ac:dyDescent="0.35">
      <c r="A71" s="6">
        <v>46255</v>
      </c>
      <c r="B71" s="2" t="s">
        <v>53</v>
      </c>
      <c r="C71" s="2" t="s">
        <v>76</v>
      </c>
      <c r="D71" s="2">
        <v>3</v>
      </c>
      <c r="E71" s="7">
        <v>950</v>
      </c>
      <c r="F71" s="8">
        <v>0.2</v>
      </c>
      <c r="G71" s="9">
        <f t="shared" si="3"/>
        <v>2280</v>
      </c>
      <c r="H71" s="4" t="str">
        <f>VLOOKUP(B71,'Store Master'!$A$2:$B$7,2,0)</f>
        <v>Visakhapatnam</v>
      </c>
      <c r="I71" s="4" t="str">
        <f t="shared" si="4"/>
        <v>No</v>
      </c>
      <c r="J71">
        <f t="shared" si="5"/>
        <v>8</v>
      </c>
    </row>
    <row r="72" spans="1:10" x14ac:dyDescent="0.35">
      <c r="A72" s="6">
        <v>46256</v>
      </c>
      <c r="B72" s="2" t="s">
        <v>56</v>
      </c>
      <c r="C72" s="2" t="s">
        <v>75</v>
      </c>
      <c r="D72" s="2">
        <v>1</v>
      </c>
      <c r="E72" s="7">
        <v>5450</v>
      </c>
      <c r="F72" s="8">
        <v>0.2</v>
      </c>
      <c r="G72" s="9">
        <f t="shared" si="3"/>
        <v>4360</v>
      </c>
      <c r="H72" s="4" t="str">
        <f>VLOOKUP(B72,'Store Master'!$A$2:$B$7,2,0)</f>
        <v>Bengaluru</v>
      </c>
      <c r="I72" s="4" t="str">
        <f t="shared" si="4"/>
        <v>No</v>
      </c>
      <c r="J72">
        <f t="shared" si="5"/>
        <v>8</v>
      </c>
    </row>
    <row r="73" spans="1:10" x14ac:dyDescent="0.35">
      <c r="A73" s="6">
        <v>46257</v>
      </c>
      <c r="B73" s="2" t="s">
        <v>56</v>
      </c>
      <c r="C73" s="2" t="s">
        <v>78</v>
      </c>
      <c r="D73" s="2">
        <v>3</v>
      </c>
      <c r="E73" s="7">
        <v>7450</v>
      </c>
      <c r="F73" s="8">
        <v>0.15</v>
      </c>
      <c r="G73" s="9">
        <f t="shared" si="3"/>
        <v>18997.5</v>
      </c>
      <c r="H73" s="4" t="str">
        <f>VLOOKUP(B73,'Store Master'!$A$2:$B$7,2,0)</f>
        <v>Bengaluru</v>
      </c>
      <c r="I73" s="4" t="str">
        <f t="shared" si="4"/>
        <v>No</v>
      </c>
      <c r="J73">
        <f t="shared" si="5"/>
        <v>8</v>
      </c>
    </row>
    <row r="74" spans="1:10" x14ac:dyDescent="0.35">
      <c r="A74" s="6">
        <v>46258</v>
      </c>
      <c r="B74" s="2" t="s">
        <v>45</v>
      </c>
      <c r="C74" s="2" t="s">
        <v>76</v>
      </c>
      <c r="D74" s="2">
        <v>3</v>
      </c>
      <c r="E74" s="7">
        <v>1200</v>
      </c>
      <c r="F74" s="8">
        <v>0.1</v>
      </c>
      <c r="G74" s="9">
        <f t="shared" si="3"/>
        <v>3240</v>
      </c>
      <c r="H74" s="4" t="str">
        <f>VLOOKUP(B74,'Store Master'!$A$2:$B$7,2,0)</f>
        <v>Hyderabad</v>
      </c>
      <c r="I74" s="4" t="str">
        <f t="shared" si="4"/>
        <v>No</v>
      </c>
      <c r="J74">
        <f t="shared" si="5"/>
        <v>8</v>
      </c>
    </row>
    <row r="75" spans="1:10" x14ac:dyDescent="0.35">
      <c r="A75" s="6">
        <v>46258</v>
      </c>
      <c r="B75" s="2" t="s">
        <v>49</v>
      </c>
      <c r="C75" s="2" t="s">
        <v>77</v>
      </c>
      <c r="D75" s="2">
        <v>2</v>
      </c>
      <c r="E75" s="7">
        <v>33200</v>
      </c>
      <c r="F75" s="8">
        <v>0.1</v>
      </c>
      <c r="G75" s="9">
        <f t="shared" si="3"/>
        <v>59760</v>
      </c>
      <c r="H75" s="4" t="str">
        <f>VLOOKUP(B75,'Store Master'!$A$2:$B$7,2,0)</f>
        <v>Vijayawada</v>
      </c>
      <c r="I75" s="4" t="str">
        <f t="shared" si="4"/>
        <v>No</v>
      </c>
      <c r="J75">
        <f t="shared" si="5"/>
        <v>8</v>
      </c>
    </row>
    <row r="76" spans="1:10" x14ac:dyDescent="0.35">
      <c r="A76" s="6">
        <v>46259</v>
      </c>
      <c r="B76" s="2" t="s">
        <v>45</v>
      </c>
      <c r="C76" s="2" t="s">
        <v>78</v>
      </c>
      <c r="D76" s="2">
        <v>2</v>
      </c>
      <c r="E76" s="7">
        <v>15300</v>
      </c>
      <c r="F76" s="8">
        <v>0.15</v>
      </c>
      <c r="G76" s="9">
        <f t="shared" si="3"/>
        <v>26010</v>
      </c>
      <c r="H76" s="4" t="str">
        <f>VLOOKUP(B76,'Store Master'!$A$2:$B$7,2,0)</f>
        <v>Hyderabad</v>
      </c>
      <c r="I76" s="4" t="str">
        <f t="shared" si="4"/>
        <v>No</v>
      </c>
      <c r="J76">
        <f t="shared" si="5"/>
        <v>8</v>
      </c>
    </row>
    <row r="77" spans="1:10" x14ac:dyDescent="0.35">
      <c r="A77" s="6">
        <v>46259</v>
      </c>
      <c r="B77" s="2" t="s">
        <v>60</v>
      </c>
      <c r="C77" s="2" t="s">
        <v>75</v>
      </c>
      <c r="D77" s="2">
        <v>2</v>
      </c>
      <c r="E77" s="7">
        <v>2650</v>
      </c>
      <c r="F77" s="8">
        <v>0.05</v>
      </c>
      <c r="G77" s="9">
        <f t="shared" si="3"/>
        <v>5035</v>
      </c>
      <c r="H77" s="4" t="str">
        <f>VLOOKUP(B77,'Store Master'!$A$2:$B$7,2,0)</f>
        <v>Chennai</v>
      </c>
      <c r="I77" s="4" t="str">
        <f t="shared" si="4"/>
        <v>No</v>
      </c>
      <c r="J77">
        <f t="shared" si="5"/>
        <v>8</v>
      </c>
    </row>
    <row r="78" spans="1:10" x14ac:dyDescent="0.35">
      <c r="A78" s="6">
        <v>46259</v>
      </c>
      <c r="B78" s="2" t="s">
        <v>60</v>
      </c>
      <c r="C78" s="2" t="s">
        <v>74</v>
      </c>
      <c r="D78" s="2">
        <v>2</v>
      </c>
      <c r="E78" s="7">
        <v>3350</v>
      </c>
      <c r="F78" s="8">
        <v>0.25</v>
      </c>
      <c r="G78" s="9">
        <f t="shared" si="3"/>
        <v>5025</v>
      </c>
      <c r="H78" s="4" t="str">
        <f>VLOOKUP(B78,'Store Master'!$A$2:$B$7,2,0)</f>
        <v>Chennai</v>
      </c>
      <c r="I78" s="4" t="str">
        <f t="shared" si="4"/>
        <v>Yes</v>
      </c>
      <c r="J78">
        <f t="shared" si="5"/>
        <v>8</v>
      </c>
    </row>
    <row r="79" spans="1:10" x14ac:dyDescent="0.35">
      <c r="A79" s="6">
        <v>46259</v>
      </c>
      <c r="B79" s="2" t="s">
        <v>60</v>
      </c>
      <c r="C79" s="2" t="s">
        <v>74</v>
      </c>
      <c r="D79" s="2">
        <v>3</v>
      </c>
      <c r="E79" s="7">
        <v>3500</v>
      </c>
      <c r="F79" s="8">
        <v>0.05</v>
      </c>
      <c r="G79" s="9">
        <f t="shared" si="3"/>
        <v>9975</v>
      </c>
      <c r="H79" s="4" t="str">
        <f>VLOOKUP(B79,'Store Master'!$A$2:$B$7,2,0)</f>
        <v>Chennai</v>
      </c>
      <c r="I79" s="4" t="str">
        <f t="shared" si="4"/>
        <v>No</v>
      </c>
      <c r="J79">
        <f t="shared" si="5"/>
        <v>8</v>
      </c>
    </row>
    <row r="80" spans="1:10" x14ac:dyDescent="0.35">
      <c r="A80" s="6">
        <v>46261</v>
      </c>
      <c r="B80" s="2" t="s">
        <v>64</v>
      </c>
      <c r="C80" s="2" t="s">
        <v>74</v>
      </c>
      <c r="D80" s="2">
        <v>1</v>
      </c>
      <c r="E80" s="7">
        <v>3450</v>
      </c>
      <c r="F80" s="8">
        <v>0.05</v>
      </c>
      <c r="G80" s="9">
        <f t="shared" si="3"/>
        <v>3277.5</v>
      </c>
      <c r="H80" s="4" t="str">
        <f>VLOOKUP(B80,'Store Master'!$A$2:$B$7,2,0)</f>
        <v>Warangal</v>
      </c>
      <c r="I80" s="4" t="str">
        <f t="shared" si="4"/>
        <v>No</v>
      </c>
      <c r="J80">
        <f t="shared" si="5"/>
        <v>8</v>
      </c>
    </row>
    <row r="81" spans="1:10" x14ac:dyDescent="0.35">
      <c r="A81" s="6">
        <v>46261</v>
      </c>
      <c r="B81" s="2" t="s">
        <v>64</v>
      </c>
      <c r="C81" s="2" t="s">
        <v>74</v>
      </c>
      <c r="D81" s="2">
        <v>2</v>
      </c>
      <c r="E81" s="7">
        <v>2850</v>
      </c>
      <c r="F81" s="8">
        <v>0.1</v>
      </c>
      <c r="G81" s="9">
        <f t="shared" si="3"/>
        <v>5130</v>
      </c>
      <c r="H81" s="4" t="str">
        <f>VLOOKUP(B81,'Store Master'!$A$2:$B$7,2,0)</f>
        <v>Warangal</v>
      </c>
      <c r="I81" s="4" t="str">
        <f t="shared" si="4"/>
        <v>No</v>
      </c>
      <c r="J81">
        <f t="shared" si="5"/>
        <v>8</v>
      </c>
    </row>
    <row r="82" spans="1:10" x14ac:dyDescent="0.35">
      <c r="A82" s="6">
        <v>46261</v>
      </c>
      <c r="B82" s="2" t="s">
        <v>64</v>
      </c>
      <c r="C82" s="2" t="s">
        <v>77</v>
      </c>
      <c r="D82" s="2">
        <v>3</v>
      </c>
      <c r="E82" s="7">
        <v>17650</v>
      </c>
      <c r="F82" s="8">
        <v>0</v>
      </c>
      <c r="G82" s="9">
        <f t="shared" si="3"/>
        <v>52950</v>
      </c>
      <c r="H82" s="4" t="str">
        <f>VLOOKUP(B82,'Store Master'!$A$2:$B$7,2,0)</f>
        <v>Warangal</v>
      </c>
      <c r="I82" s="4" t="str">
        <f t="shared" si="4"/>
        <v>No</v>
      </c>
      <c r="J82">
        <f t="shared" si="5"/>
        <v>8</v>
      </c>
    </row>
    <row r="83" spans="1:10" x14ac:dyDescent="0.35">
      <c r="A83" s="6">
        <v>46262</v>
      </c>
      <c r="B83" s="2" t="s">
        <v>64</v>
      </c>
      <c r="C83" s="2" t="s">
        <v>75</v>
      </c>
      <c r="D83" s="2">
        <v>3</v>
      </c>
      <c r="E83" s="7">
        <v>4750</v>
      </c>
      <c r="F83" s="8">
        <v>0.25</v>
      </c>
      <c r="G83" s="9">
        <f t="shared" si="3"/>
        <v>10687.5</v>
      </c>
      <c r="H83" s="4" t="str">
        <f>VLOOKUP(B83,'Store Master'!$A$2:$B$7,2,0)</f>
        <v>Warangal</v>
      </c>
      <c r="I83" s="4" t="str">
        <f t="shared" si="4"/>
        <v>Yes</v>
      </c>
      <c r="J83">
        <f t="shared" si="5"/>
        <v>8</v>
      </c>
    </row>
    <row r="84" spans="1:10" x14ac:dyDescent="0.35">
      <c r="A84" s="6">
        <v>46262</v>
      </c>
      <c r="B84" s="2" t="s">
        <v>60</v>
      </c>
      <c r="C84" s="2" t="s">
        <v>77</v>
      </c>
      <c r="D84" s="2">
        <v>2</v>
      </c>
      <c r="E84" s="7">
        <v>32350</v>
      </c>
      <c r="F84" s="8">
        <v>0.2</v>
      </c>
      <c r="G84" s="9">
        <f t="shared" si="3"/>
        <v>51760</v>
      </c>
      <c r="H84" s="4" t="str">
        <f>VLOOKUP(B84,'Store Master'!$A$2:$B$7,2,0)</f>
        <v>Chennai</v>
      </c>
      <c r="I84" s="4" t="str">
        <f t="shared" si="4"/>
        <v>No</v>
      </c>
      <c r="J84">
        <f t="shared" si="5"/>
        <v>8</v>
      </c>
    </row>
    <row r="85" spans="1:10" x14ac:dyDescent="0.35">
      <c r="A85" s="6">
        <v>46263</v>
      </c>
      <c r="B85" s="2" t="s">
        <v>45</v>
      </c>
      <c r="C85" s="2" t="s">
        <v>74</v>
      </c>
      <c r="D85" s="2">
        <v>3</v>
      </c>
      <c r="E85" s="7">
        <v>900</v>
      </c>
      <c r="F85" s="8">
        <v>0.3</v>
      </c>
      <c r="G85" s="9">
        <f t="shared" si="3"/>
        <v>1889.9999999999998</v>
      </c>
      <c r="H85" s="4" t="str">
        <f>VLOOKUP(B85,'Store Master'!$A$2:$B$7,2,0)</f>
        <v>Hyderabad</v>
      </c>
      <c r="I85" s="4" t="str">
        <f t="shared" si="4"/>
        <v>Yes</v>
      </c>
      <c r="J85">
        <f t="shared" si="5"/>
        <v>8</v>
      </c>
    </row>
    <row r="86" spans="1:10" x14ac:dyDescent="0.35">
      <c r="A86" s="6">
        <v>46263</v>
      </c>
      <c r="B86" s="2" t="s">
        <v>56</v>
      </c>
      <c r="C86" s="2" t="s">
        <v>77</v>
      </c>
      <c r="D86" s="2">
        <v>2</v>
      </c>
      <c r="E86" s="7">
        <v>17950</v>
      </c>
      <c r="F86" s="8">
        <v>0.25</v>
      </c>
      <c r="G86" s="9">
        <f t="shared" si="3"/>
        <v>26925</v>
      </c>
      <c r="H86" s="4" t="str">
        <f>VLOOKUP(B86,'Store Master'!$A$2:$B$7,2,0)</f>
        <v>Bengaluru</v>
      </c>
      <c r="I86" s="4" t="str">
        <f t="shared" si="4"/>
        <v>Yes</v>
      </c>
      <c r="J86">
        <f t="shared" si="5"/>
        <v>8</v>
      </c>
    </row>
    <row r="87" spans="1:10" x14ac:dyDescent="0.35">
      <c r="A87" s="6">
        <v>46264</v>
      </c>
      <c r="B87" s="2" t="s">
        <v>60</v>
      </c>
      <c r="C87" s="2" t="s">
        <v>77</v>
      </c>
      <c r="D87" s="2">
        <v>1</v>
      </c>
      <c r="E87" s="7">
        <v>9250</v>
      </c>
      <c r="F87" s="8">
        <v>0</v>
      </c>
      <c r="G87" s="9">
        <f t="shared" si="3"/>
        <v>9250</v>
      </c>
      <c r="H87" s="4" t="str">
        <f>VLOOKUP(B87,'Store Master'!$A$2:$B$7,2,0)</f>
        <v>Chennai</v>
      </c>
      <c r="I87" s="4" t="str">
        <f t="shared" si="4"/>
        <v>No</v>
      </c>
      <c r="J87">
        <f t="shared" si="5"/>
        <v>8</v>
      </c>
    </row>
    <row r="88" spans="1:10" x14ac:dyDescent="0.35">
      <c r="A88" s="6">
        <v>46264</v>
      </c>
      <c r="B88" s="2" t="s">
        <v>45</v>
      </c>
      <c r="C88" s="2" t="s">
        <v>78</v>
      </c>
      <c r="D88" s="2">
        <v>1</v>
      </c>
      <c r="E88" s="7">
        <v>9900</v>
      </c>
      <c r="F88" s="8">
        <v>0.3</v>
      </c>
      <c r="G88" s="9">
        <f t="shared" si="3"/>
        <v>6930</v>
      </c>
      <c r="H88" s="4" t="str">
        <f>VLOOKUP(B88,'Store Master'!$A$2:$B$7,2,0)</f>
        <v>Hyderabad</v>
      </c>
      <c r="I88" s="4" t="str">
        <f t="shared" si="4"/>
        <v>Yes</v>
      </c>
      <c r="J88">
        <f t="shared" si="5"/>
        <v>8</v>
      </c>
    </row>
    <row r="89" spans="1:10" x14ac:dyDescent="0.35">
      <c r="A89" s="6">
        <v>46264</v>
      </c>
      <c r="B89" s="2" t="s">
        <v>45</v>
      </c>
      <c r="C89" s="2" t="s">
        <v>77</v>
      </c>
      <c r="D89" s="2">
        <v>1</v>
      </c>
      <c r="E89" s="7">
        <v>19350</v>
      </c>
      <c r="F89" s="8">
        <v>0.3</v>
      </c>
      <c r="G89" s="9">
        <f t="shared" si="3"/>
        <v>13545</v>
      </c>
      <c r="H89" s="4" t="str">
        <f>VLOOKUP(B89,'Store Master'!$A$2:$B$7,2,0)</f>
        <v>Hyderabad</v>
      </c>
      <c r="I89" s="4" t="str">
        <f t="shared" si="4"/>
        <v>Yes</v>
      </c>
      <c r="J89">
        <f t="shared" si="5"/>
        <v>8</v>
      </c>
    </row>
    <row r="90" spans="1:10" x14ac:dyDescent="0.35">
      <c r="A90" s="6">
        <v>46264</v>
      </c>
      <c r="B90" s="2" t="s">
        <v>53</v>
      </c>
      <c r="C90" s="2" t="s">
        <v>77</v>
      </c>
      <c r="D90" s="2">
        <v>1</v>
      </c>
      <c r="E90" s="7">
        <v>18900</v>
      </c>
      <c r="F90" s="8">
        <v>0.3</v>
      </c>
      <c r="G90" s="9">
        <f t="shared" si="3"/>
        <v>13230</v>
      </c>
      <c r="H90" s="4" t="str">
        <f>VLOOKUP(B90,'Store Master'!$A$2:$B$7,2,0)</f>
        <v>Visakhapatnam</v>
      </c>
      <c r="I90" s="4" t="str">
        <f t="shared" si="4"/>
        <v>Yes</v>
      </c>
      <c r="J90">
        <f t="shared" si="5"/>
        <v>8</v>
      </c>
    </row>
    <row r="91" spans="1:10" x14ac:dyDescent="0.35">
      <c r="A91" s="6">
        <v>46264</v>
      </c>
      <c r="B91" s="2" t="s">
        <v>53</v>
      </c>
      <c r="C91" s="2" t="s">
        <v>74</v>
      </c>
      <c r="D91" s="2">
        <v>1</v>
      </c>
      <c r="E91" s="7">
        <v>2650</v>
      </c>
      <c r="F91" s="8">
        <v>0.1</v>
      </c>
      <c r="G91" s="9">
        <f t="shared" si="3"/>
        <v>2385</v>
      </c>
      <c r="H91" s="4" t="str">
        <f>VLOOKUP(B91,'Store Master'!$A$2:$B$7,2,0)</f>
        <v>Visakhapatnam</v>
      </c>
      <c r="I91" s="4" t="str">
        <f t="shared" si="4"/>
        <v>No</v>
      </c>
      <c r="J91">
        <f t="shared" si="5"/>
        <v>8</v>
      </c>
    </row>
    <row r="92" spans="1:10" x14ac:dyDescent="0.35">
      <c r="A92" s="6">
        <v>46264</v>
      </c>
      <c r="B92" s="2" t="s">
        <v>56</v>
      </c>
      <c r="C92" s="2" t="s">
        <v>74</v>
      </c>
      <c r="D92" s="2">
        <v>2</v>
      </c>
      <c r="E92" s="7">
        <v>2700</v>
      </c>
      <c r="F92" s="8">
        <v>0</v>
      </c>
      <c r="G92" s="9">
        <f t="shared" si="3"/>
        <v>5400</v>
      </c>
      <c r="H92" s="4" t="str">
        <f>VLOOKUP(B92,'Store Master'!$A$2:$B$7,2,0)</f>
        <v>Bengaluru</v>
      </c>
      <c r="I92" s="4" t="str">
        <f t="shared" si="4"/>
        <v>No</v>
      </c>
      <c r="J92">
        <f t="shared" si="5"/>
        <v>8</v>
      </c>
    </row>
    <row r="93" spans="1:10" x14ac:dyDescent="0.35">
      <c r="A93" s="6">
        <v>46265</v>
      </c>
      <c r="B93" s="2" t="s">
        <v>45</v>
      </c>
      <c r="C93" s="2" t="s">
        <v>77</v>
      </c>
      <c r="D93" s="2">
        <v>1</v>
      </c>
      <c r="E93" s="7">
        <v>27600</v>
      </c>
      <c r="F93" s="8">
        <v>0</v>
      </c>
      <c r="G93" s="9">
        <f t="shared" si="3"/>
        <v>27600</v>
      </c>
      <c r="H93" s="4" t="str">
        <f>VLOOKUP(B93,'Store Master'!$A$2:$B$7,2,0)</f>
        <v>Hyderabad</v>
      </c>
      <c r="I93" s="4" t="str">
        <f t="shared" si="4"/>
        <v>No</v>
      </c>
      <c r="J93">
        <f t="shared" si="5"/>
        <v>8</v>
      </c>
    </row>
    <row r="94" spans="1:10" x14ac:dyDescent="0.35">
      <c r="A94" s="6">
        <v>46265</v>
      </c>
      <c r="B94" s="2" t="s">
        <v>53</v>
      </c>
      <c r="C94" s="2" t="s">
        <v>75</v>
      </c>
      <c r="D94" s="2">
        <v>3</v>
      </c>
      <c r="E94" s="7">
        <v>3250</v>
      </c>
      <c r="F94" s="8">
        <v>0.05</v>
      </c>
      <c r="G94" s="9">
        <f t="shared" si="3"/>
        <v>9262.5</v>
      </c>
      <c r="H94" s="4" t="str">
        <f>VLOOKUP(B94,'Store Master'!$A$2:$B$7,2,0)</f>
        <v>Visakhapatnam</v>
      </c>
      <c r="I94" s="4" t="str">
        <f t="shared" si="4"/>
        <v>No</v>
      </c>
      <c r="J94">
        <f t="shared" si="5"/>
        <v>8</v>
      </c>
    </row>
    <row r="95" spans="1:10" x14ac:dyDescent="0.35">
      <c r="A95" s="6">
        <v>46265</v>
      </c>
      <c r="B95" s="2" t="s">
        <v>49</v>
      </c>
      <c r="C95" s="2" t="s">
        <v>75</v>
      </c>
      <c r="D95" s="2">
        <v>3</v>
      </c>
      <c r="E95" s="7">
        <v>2450</v>
      </c>
      <c r="F95" s="8">
        <v>0.1</v>
      </c>
      <c r="G95" s="9">
        <f t="shared" si="3"/>
        <v>6615</v>
      </c>
      <c r="H95" s="4" t="str">
        <f>VLOOKUP(B95,'Store Master'!$A$2:$B$7,2,0)</f>
        <v>Vijayawada</v>
      </c>
      <c r="I95" s="4" t="str">
        <f t="shared" si="4"/>
        <v>No</v>
      </c>
      <c r="J95">
        <f t="shared" si="5"/>
        <v>8</v>
      </c>
    </row>
    <row r="96" spans="1:10" x14ac:dyDescent="0.35">
      <c r="A96" s="6">
        <v>46265</v>
      </c>
      <c r="B96" s="2" t="s">
        <v>60</v>
      </c>
      <c r="C96" s="2" t="s">
        <v>75</v>
      </c>
      <c r="D96" s="2">
        <v>2</v>
      </c>
      <c r="E96" s="7">
        <v>3400</v>
      </c>
      <c r="F96" s="8">
        <v>0</v>
      </c>
      <c r="G96" s="9">
        <f t="shared" si="3"/>
        <v>6800</v>
      </c>
      <c r="H96" s="4" t="str">
        <f>VLOOKUP(B96,'Store Master'!$A$2:$B$7,2,0)</f>
        <v>Chennai</v>
      </c>
      <c r="I96" s="4" t="str">
        <f t="shared" si="4"/>
        <v>No</v>
      </c>
      <c r="J96">
        <f t="shared" si="5"/>
        <v>8</v>
      </c>
    </row>
    <row r="97" spans="1:10" x14ac:dyDescent="0.35">
      <c r="A97" s="6">
        <v>46265</v>
      </c>
      <c r="B97" s="2" t="s">
        <v>64</v>
      </c>
      <c r="C97" s="2" t="s">
        <v>74</v>
      </c>
      <c r="D97" s="2">
        <v>3</v>
      </c>
      <c r="E97" s="7">
        <v>1750</v>
      </c>
      <c r="F97" s="8">
        <v>0</v>
      </c>
      <c r="G97" s="9">
        <f t="shared" si="3"/>
        <v>5250</v>
      </c>
      <c r="H97" s="4" t="str">
        <f>VLOOKUP(B97,'Store Master'!$A$2:$B$7,2,0)</f>
        <v>Warangal</v>
      </c>
      <c r="I97" s="4" t="str">
        <f t="shared" si="4"/>
        <v>No</v>
      </c>
      <c r="J97">
        <f t="shared" si="5"/>
        <v>8</v>
      </c>
    </row>
    <row r="98" spans="1:10" x14ac:dyDescent="0.35">
      <c r="A98" s="6">
        <v>46265</v>
      </c>
      <c r="B98" s="2" t="s">
        <v>56</v>
      </c>
      <c r="C98" s="2" t="s">
        <v>76</v>
      </c>
      <c r="D98" s="2">
        <v>3</v>
      </c>
      <c r="E98" s="7">
        <v>2350</v>
      </c>
      <c r="F98" s="8">
        <v>0.1</v>
      </c>
      <c r="G98" s="9">
        <f t="shared" si="3"/>
        <v>6345</v>
      </c>
      <c r="H98" s="4" t="str">
        <f>VLOOKUP(B98,'Store Master'!$A$2:$B$7,2,0)</f>
        <v>Bengaluru</v>
      </c>
      <c r="I98" s="4" t="str">
        <f t="shared" si="4"/>
        <v>No</v>
      </c>
      <c r="J98">
        <f t="shared" si="5"/>
        <v>8</v>
      </c>
    </row>
    <row r="99" spans="1:10" x14ac:dyDescent="0.35">
      <c r="A99" s="6">
        <v>46267</v>
      </c>
      <c r="B99" s="2" t="s">
        <v>56</v>
      </c>
      <c r="C99" s="2" t="s">
        <v>78</v>
      </c>
      <c r="D99" s="2">
        <v>1</v>
      </c>
      <c r="E99" s="7">
        <v>17950</v>
      </c>
      <c r="F99" s="8">
        <v>0.2</v>
      </c>
      <c r="G99" s="9">
        <f t="shared" si="3"/>
        <v>14360</v>
      </c>
      <c r="H99" s="4" t="str">
        <f>VLOOKUP(B99,'Store Master'!$A$2:$B$7,2,0)</f>
        <v>Bengaluru</v>
      </c>
      <c r="I99" s="4" t="str">
        <f t="shared" si="4"/>
        <v>No</v>
      </c>
      <c r="J99">
        <f t="shared" si="5"/>
        <v>9</v>
      </c>
    </row>
    <row r="100" spans="1:10" x14ac:dyDescent="0.35">
      <c r="A100" s="6">
        <v>46268</v>
      </c>
      <c r="B100" s="2" t="s">
        <v>45</v>
      </c>
      <c r="C100" s="2" t="s">
        <v>75</v>
      </c>
      <c r="D100" s="2">
        <v>1</v>
      </c>
      <c r="E100" s="7">
        <v>5900</v>
      </c>
      <c r="F100" s="8">
        <v>0.2</v>
      </c>
      <c r="G100" s="9">
        <f t="shared" si="3"/>
        <v>4720</v>
      </c>
      <c r="H100" s="4" t="str">
        <f>VLOOKUP(B100,'Store Master'!$A$2:$B$7,2,0)</f>
        <v>Hyderabad</v>
      </c>
      <c r="I100" s="4" t="str">
        <f t="shared" si="4"/>
        <v>No</v>
      </c>
      <c r="J100">
        <f t="shared" si="5"/>
        <v>9</v>
      </c>
    </row>
    <row r="101" spans="1:10" x14ac:dyDescent="0.35">
      <c r="A101" s="6">
        <v>46268</v>
      </c>
      <c r="B101" s="2" t="s">
        <v>49</v>
      </c>
      <c r="C101" s="2" t="s">
        <v>74</v>
      </c>
      <c r="D101" s="2">
        <v>2</v>
      </c>
      <c r="E101" s="7">
        <v>1800</v>
      </c>
      <c r="F101" s="8">
        <v>0.2</v>
      </c>
      <c r="G101" s="9">
        <f t="shared" si="3"/>
        <v>2880</v>
      </c>
      <c r="H101" s="4" t="str">
        <f>VLOOKUP(B101,'Store Master'!$A$2:$B$7,2,0)</f>
        <v>Vijayawada</v>
      </c>
      <c r="I101" s="4" t="str">
        <f t="shared" si="4"/>
        <v>No</v>
      </c>
      <c r="J101">
        <f t="shared" si="5"/>
        <v>9</v>
      </c>
    </row>
    <row r="102" spans="1:10" x14ac:dyDescent="0.35">
      <c r="A102" s="6">
        <v>46268</v>
      </c>
      <c r="B102" s="2" t="s">
        <v>49</v>
      </c>
      <c r="C102" s="2" t="s">
        <v>76</v>
      </c>
      <c r="D102" s="2">
        <v>1</v>
      </c>
      <c r="E102" s="7">
        <v>2000</v>
      </c>
      <c r="F102" s="8">
        <v>0</v>
      </c>
      <c r="G102" s="9">
        <f t="shared" si="3"/>
        <v>2000</v>
      </c>
      <c r="H102" s="4" t="str">
        <f>VLOOKUP(B102,'Store Master'!$A$2:$B$7,2,0)</f>
        <v>Vijayawada</v>
      </c>
      <c r="I102" s="4" t="str">
        <f t="shared" si="4"/>
        <v>No</v>
      </c>
      <c r="J102">
        <f t="shared" si="5"/>
        <v>9</v>
      </c>
    </row>
    <row r="103" spans="1:10" x14ac:dyDescent="0.35">
      <c r="A103" s="6">
        <v>46268</v>
      </c>
      <c r="B103" s="2" t="s">
        <v>64</v>
      </c>
      <c r="C103" s="2" t="s">
        <v>76</v>
      </c>
      <c r="D103" s="2">
        <v>1</v>
      </c>
      <c r="E103" s="7">
        <v>3600</v>
      </c>
      <c r="F103" s="8">
        <v>0.2</v>
      </c>
      <c r="G103" s="9">
        <f t="shared" si="3"/>
        <v>2880</v>
      </c>
      <c r="H103" s="4" t="str">
        <f>VLOOKUP(B103,'Store Master'!$A$2:$B$7,2,0)</f>
        <v>Warangal</v>
      </c>
      <c r="I103" s="4" t="str">
        <f t="shared" si="4"/>
        <v>No</v>
      </c>
      <c r="J103">
        <f t="shared" si="5"/>
        <v>9</v>
      </c>
    </row>
    <row r="104" spans="1:10" x14ac:dyDescent="0.35">
      <c r="A104" s="6">
        <v>46269</v>
      </c>
      <c r="B104" s="2" t="s">
        <v>64</v>
      </c>
      <c r="C104" s="2" t="s">
        <v>76</v>
      </c>
      <c r="D104" s="2">
        <v>3</v>
      </c>
      <c r="E104" s="7">
        <v>1800</v>
      </c>
      <c r="F104" s="8">
        <v>0.15</v>
      </c>
      <c r="G104" s="9">
        <f t="shared" si="3"/>
        <v>4590</v>
      </c>
      <c r="H104" s="4" t="str">
        <f>VLOOKUP(B104,'Store Master'!$A$2:$B$7,2,0)</f>
        <v>Warangal</v>
      </c>
      <c r="I104" s="4" t="str">
        <f t="shared" si="4"/>
        <v>No</v>
      </c>
      <c r="J104">
        <f t="shared" si="5"/>
        <v>9</v>
      </c>
    </row>
    <row r="105" spans="1:10" x14ac:dyDescent="0.35">
      <c r="A105" s="6">
        <v>46269</v>
      </c>
      <c r="B105" s="2" t="s">
        <v>45</v>
      </c>
      <c r="C105" s="2" t="s">
        <v>77</v>
      </c>
      <c r="D105" s="2">
        <v>3</v>
      </c>
      <c r="E105" s="7">
        <v>27600</v>
      </c>
      <c r="F105" s="8">
        <v>0.15</v>
      </c>
      <c r="G105" s="9">
        <f t="shared" si="3"/>
        <v>70380</v>
      </c>
      <c r="H105" s="4" t="str">
        <f>VLOOKUP(B105,'Store Master'!$A$2:$B$7,2,0)</f>
        <v>Hyderabad</v>
      </c>
      <c r="I105" s="4" t="str">
        <f t="shared" si="4"/>
        <v>No</v>
      </c>
      <c r="J105">
        <f t="shared" si="5"/>
        <v>9</v>
      </c>
    </row>
    <row r="106" spans="1:10" x14ac:dyDescent="0.35">
      <c r="A106" s="6">
        <v>46269</v>
      </c>
      <c r="B106" s="2" t="s">
        <v>60</v>
      </c>
      <c r="C106" s="2" t="s">
        <v>76</v>
      </c>
      <c r="D106" s="2">
        <v>2</v>
      </c>
      <c r="E106" s="7">
        <v>2900</v>
      </c>
      <c r="F106" s="8">
        <v>0</v>
      </c>
      <c r="G106" s="9">
        <f t="shared" si="3"/>
        <v>5800</v>
      </c>
      <c r="H106" s="4" t="str">
        <f>VLOOKUP(B106,'Store Master'!$A$2:$B$7,2,0)</f>
        <v>Chennai</v>
      </c>
      <c r="I106" s="4" t="str">
        <f t="shared" si="4"/>
        <v>No</v>
      </c>
      <c r="J106">
        <f t="shared" si="5"/>
        <v>9</v>
      </c>
    </row>
    <row r="107" spans="1:10" x14ac:dyDescent="0.35">
      <c r="A107" s="6">
        <v>46270</v>
      </c>
      <c r="B107" s="2" t="s">
        <v>56</v>
      </c>
      <c r="C107" s="2" t="s">
        <v>77</v>
      </c>
      <c r="D107" s="2">
        <v>2</v>
      </c>
      <c r="E107" s="7">
        <v>11450</v>
      </c>
      <c r="F107" s="8">
        <v>0.3</v>
      </c>
      <c r="G107" s="9">
        <f t="shared" si="3"/>
        <v>16029.999999999998</v>
      </c>
      <c r="H107" s="4" t="str">
        <f>VLOOKUP(B107,'Store Master'!$A$2:$B$7,2,0)</f>
        <v>Bengaluru</v>
      </c>
      <c r="I107" s="4" t="str">
        <f t="shared" si="4"/>
        <v>Yes</v>
      </c>
      <c r="J107">
        <f t="shared" si="5"/>
        <v>9</v>
      </c>
    </row>
    <row r="108" spans="1:10" x14ac:dyDescent="0.35">
      <c r="A108" s="6">
        <v>46270</v>
      </c>
      <c r="B108" s="2" t="s">
        <v>60</v>
      </c>
      <c r="C108" s="2" t="s">
        <v>75</v>
      </c>
      <c r="D108" s="2">
        <v>2</v>
      </c>
      <c r="E108" s="7">
        <v>3450</v>
      </c>
      <c r="F108" s="8">
        <v>0.25</v>
      </c>
      <c r="G108" s="9">
        <f t="shared" si="3"/>
        <v>5175</v>
      </c>
      <c r="H108" s="4" t="str">
        <f>VLOOKUP(B108,'Store Master'!$A$2:$B$7,2,0)</f>
        <v>Chennai</v>
      </c>
      <c r="I108" s="4" t="str">
        <f t="shared" si="4"/>
        <v>Yes</v>
      </c>
      <c r="J108">
        <f t="shared" si="5"/>
        <v>9</v>
      </c>
    </row>
    <row r="109" spans="1:10" x14ac:dyDescent="0.35">
      <c r="A109" s="6">
        <v>46270</v>
      </c>
      <c r="B109" s="2" t="s">
        <v>56</v>
      </c>
      <c r="C109" s="2" t="s">
        <v>74</v>
      </c>
      <c r="D109" s="2">
        <v>2</v>
      </c>
      <c r="E109" s="7">
        <v>1150</v>
      </c>
      <c r="F109" s="8">
        <v>0</v>
      </c>
      <c r="G109" s="9">
        <f t="shared" si="3"/>
        <v>2300</v>
      </c>
      <c r="H109" s="4" t="str">
        <f>VLOOKUP(B109,'Store Master'!$A$2:$B$7,2,0)</f>
        <v>Bengaluru</v>
      </c>
      <c r="I109" s="4" t="str">
        <f t="shared" si="4"/>
        <v>No</v>
      </c>
      <c r="J109">
        <f t="shared" si="5"/>
        <v>9</v>
      </c>
    </row>
    <row r="110" spans="1:10" x14ac:dyDescent="0.35">
      <c r="A110" s="6">
        <v>46270</v>
      </c>
      <c r="B110" s="2" t="s">
        <v>49</v>
      </c>
      <c r="C110" s="2" t="s">
        <v>76</v>
      </c>
      <c r="D110" s="2">
        <v>3</v>
      </c>
      <c r="E110" s="7">
        <v>2700</v>
      </c>
      <c r="F110" s="8">
        <v>0.25</v>
      </c>
      <c r="G110" s="9">
        <f t="shared" si="3"/>
        <v>6075</v>
      </c>
      <c r="H110" s="4" t="str">
        <f>VLOOKUP(B110,'Store Master'!$A$2:$B$7,2,0)</f>
        <v>Vijayawada</v>
      </c>
      <c r="I110" s="4" t="str">
        <f t="shared" si="4"/>
        <v>Yes</v>
      </c>
      <c r="J110">
        <f t="shared" si="5"/>
        <v>9</v>
      </c>
    </row>
    <row r="111" spans="1:10" x14ac:dyDescent="0.35">
      <c r="A111" s="6">
        <v>46271</v>
      </c>
      <c r="B111" s="2" t="s">
        <v>64</v>
      </c>
      <c r="C111" s="2" t="s">
        <v>75</v>
      </c>
      <c r="D111" s="2">
        <v>2</v>
      </c>
      <c r="E111" s="7">
        <v>1800</v>
      </c>
      <c r="F111" s="8">
        <v>0</v>
      </c>
      <c r="G111" s="9">
        <f t="shared" si="3"/>
        <v>3600</v>
      </c>
      <c r="H111" s="4" t="str">
        <f>VLOOKUP(B111,'Store Master'!$A$2:$B$7,2,0)</f>
        <v>Warangal</v>
      </c>
      <c r="I111" s="4" t="str">
        <f t="shared" si="4"/>
        <v>No</v>
      </c>
      <c r="J111">
        <f t="shared" si="5"/>
        <v>9</v>
      </c>
    </row>
    <row r="112" spans="1:10" x14ac:dyDescent="0.35">
      <c r="A112" s="6">
        <v>46272</v>
      </c>
      <c r="B112" s="2" t="s">
        <v>45</v>
      </c>
      <c r="C112" s="2" t="s">
        <v>77</v>
      </c>
      <c r="D112" s="2">
        <v>2</v>
      </c>
      <c r="E112" s="7">
        <v>12300</v>
      </c>
      <c r="F112" s="8">
        <v>0.1</v>
      </c>
      <c r="G112" s="9">
        <f t="shared" si="3"/>
        <v>22140</v>
      </c>
      <c r="H112" s="4" t="str">
        <f>VLOOKUP(B112,'Store Master'!$A$2:$B$7,2,0)</f>
        <v>Hyderabad</v>
      </c>
      <c r="I112" s="4" t="str">
        <f t="shared" si="4"/>
        <v>No</v>
      </c>
      <c r="J112">
        <f t="shared" si="5"/>
        <v>9</v>
      </c>
    </row>
    <row r="113" spans="1:10" x14ac:dyDescent="0.35">
      <c r="A113" s="6">
        <v>46272</v>
      </c>
      <c r="B113" s="2" t="s">
        <v>49</v>
      </c>
      <c r="C113" s="2" t="s">
        <v>78</v>
      </c>
      <c r="D113" s="2">
        <v>3</v>
      </c>
      <c r="E113" s="7">
        <v>14000</v>
      </c>
      <c r="F113" s="8">
        <v>0.3</v>
      </c>
      <c r="G113" s="9">
        <f t="shared" si="3"/>
        <v>29399.999999999996</v>
      </c>
      <c r="H113" s="4" t="str">
        <f>VLOOKUP(B113,'Store Master'!$A$2:$B$7,2,0)</f>
        <v>Vijayawada</v>
      </c>
      <c r="I113" s="4" t="str">
        <f t="shared" si="4"/>
        <v>Yes</v>
      </c>
      <c r="J113">
        <f t="shared" si="5"/>
        <v>9</v>
      </c>
    </row>
    <row r="114" spans="1:10" x14ac:dyDescent="0.35">
      <c r="A114" s="6">
        <v>46272</v>
      </c>
      <c r="B114" s="2" t="s">
        <v>45</v>
      </c>
      <c r="C114" s="2" t="s">
        <v>75</v>
      </c>
      <c r="D114" s="2">
        <v>1</v>
      </c>
      <c r="E114" s="7">
        <v>3750</v>
      </c>
      <c r="F114" s="8">
        <v>0</v>
      </c>
      <c r="G114" s="9">
        <f t="shared" si="3"/>
        <v>3750</v>
      </c>
      <c r="H114" s="4" t="str">
        <f>VLOOKUP(B114,'Store Master'!$A$2:$B$7,2,0)</f>
        <v>Hyderabad</v>
      </c>
      <c r="I114" s="4" t="str">
        <f t="shared" si="4"/>
        <v>No</v>
      </c>
      <c r="J114">
        <f t="shared" si="5"/>
        <v>9</v>
      </c>
    </row>
    <row r="115" spans="1:10" x14ac:dyDescent="0.35">
      <c r="A115" s="6">
        <v>46275</v>
      </c>
      <c r="B115" s="2" t="s">
        <v>60</v>
      </c>
      <c r="C115" s="2" t="s">
        <v>78</v>
      </c>
      <c r="D115" s="2">
        <v>1</v>
      </c>
      <c r="E115" s="7">
        <v>6750</v>
      </c>
      <c r="F115" s="8">
        <v>0.1</v>
      </c>
      <c r="G115" s="9">
        <f t="shared" si="3"/>
        <v>6075</v>
      </c>
      <c r="H115" s="4" t="str">
        <f>VLOOKUP(B115,'Store Master'!$A$2:$B$7,2,0)</f>
        <v>Chennai</v>
      </c>
      <c r="I115" s="4" t="str">
        <f t="shared" si="4"/>
        <v>No</v>
      </c>
      <c r="J115">
        <f t="shared" si="5"/>
        <v>9</v>
      </c>
    </row>
    <row r="116" spans="1:10" x14ac:dyDescent="0.35">
      <c r="A116" s="6">
        <v>46275</v>
      </c>
      <c r="B116" s="2" t="s">
        <v>53</v>
      </c>
      <c r="C116" s="2" t="s">
        <v>74</v>
      </c>
      <c r="D116" s="2">
        <v>2</v>
      </c>
      <c r="E116" s="7">
        <v>1250</v>
      </c>
      <c r="F116" s="8">
        <v>0.3</v>
      </c>
      <c r="G116" s="9">
        <f t="shared" si="3"/>
        <v>1750</v>
      </c>
      <c r="H116" s="4" t="str">
        <f>VLOOKUP(B116,'Store Master'!$A$2:$B$7,2,0)</f>
        <v>Visakhapatnam</v>
      </c>
      <c r="I116" s="4" t="str">
        <f t="shared" si="4"/>
        <v>Yes</v>
      </c>
      <c r="J116">
        <f t="shared" si="5"/>
        <v>9</v>
      </c>
    </row>
    <row r="117" spans="1:10" x14ac:dyDescent="0.35">
      <c r="A117" s="6">
        <v>46275</v>
      </c>
      <c r="B117" s="2" t="s">
        <v>64</v>
      </c>
      <c r="C117" s="2" t="s">
        <v>75</v>
      </c>
      <c r="D117" s="2">
        <v>2</v>
      </c>
      <c r="E117" s="7">
        <v>4600</v>
      </c>
      <c r="F117" s="8">
        <v>0.05</v>
      </c>
      <c r="G117" s="9">
        <f t="shared" si="3"/>
        <v>8740</v>
      </c>
      <c r="H117" s="4" t="str">
        <f>VLOOKUP(B117,'Store Master'!$A$2:$B$7,2,0)</f>
        <v>Warangal</v>
      </c>
      <c r="I117" s="4" t="str">
        <f t="shared" si="4"/>
        <v>No</v>
      </c>
      <c r="J117">
        <f t="shared" si="5"/>
        <v>9</v>
      </c>
    </row>
    <row r="118" spans="1:10" x14ac:dyDescent="0.35">
      <c r="A118" s="6">
        <v>46276</v>
      </c>
      <c r="B118" s="2" t="s">
        <v>56</v>
      </c>
      <c r="C118" s="2" t="s">
        <v>78</v>
      </c>
      <c r="D118" s="2">
        <v>2</v>
      </c>
      <c r="E118" s="7">
        <v>6350</v>
      </c>
      <c r="F118" s="8">
        <v>0.1</v>
      </c>
      <c r="G118" s="9">
        <f t="shared" si="3"/>
        <v>11430</v>
      </c>
      <c r="H118" s="4" t="str">
        <f>VLOOKUP(B118,'Store Master'!$A$2:$B$7,2,0)</f>
        <v>Bengaluru</v>
      </c>
      <c r="I118" s="4" t="str">
        <f t="shared" si="4"/>
        <v>No</v>
      </c>
      <c r="J118">
        <f t="shared" si="5"/>
        <v>9</v>
      </c>
    </row>
    <row r="119" spans="1:10" x14ac:dyDescent="0.35">
      <c r="A119" s="6">
        <v>46276</v>
      </c>
      <c r="B119" s="2" t="s">
        <v>56</v>
      </c>
      <c r="C119" s="2" t="s">
        <v>74</v>
      </c>
      <c r="D119" s="2">
        <v>1</v>
      </c>
      <c r="E119" s="7">
        <v>3050</v>
      </c>
      <c r="F119" s="8">
        <v>0.1</v>
      </c>
      <c r="G119" s="9">
        <f t="shared" si="3"/>
        <v>2745</v>
      </c>
      <c r="H119" s="4" t="str">
        <f>VLOOKUP(B119,'Store Master'!$A$2:$B$7,2,0)</f>
        <v>Bengaluru</v>
      </c>
      <c r="I119" s="4" t="str">
        <f t="shared" si="4"/>
        <v>No</v>
      </c>
      <c r="J119">
        <f t="shared" si="5"/>
        <v>9</v>
      </c>
    </row>
    <row r="120" spans="1:10" x14ac:dyDescent="0.35">
      <c r="A120" s="6">
        <v>46276</v>
      </c>
      <c r="B120" s="2" t="s">
        <v>49</v>
      </c>
      <c r="C120" s="2" t="s">
        <v>75</v>
      </c>
      <c r="D120" s="2">
        <v>2</v>
      </c>
      <c r="E120" s="7">
        <v>4200</v>
      </c>
      <c r="F120" s="8">
        <v>0.2</v>
      </c>
      <c r="G120" s="9">
        <f t="shared" si="3"/>
        <v>6720</v>
      </c>
      <c r="H120" s="4" t="str">
        <f>VLOOKUP(B120,'Store Master'!$A$2:$B$7,2,0)</f>
        <v>Vijayawada</v>
      </c>
      <c r="I120" s="4" t="str">
        <f t="shared" si="4"/>
        <v>No</v>
      </c>
      <c r="J120">
        <f t="shared" si="5"/>
        <v>9</v>
      </c>
    </row>
    <row r="121" spans="1:10" x14ac:dyDescent="0.35">
      <c r="A121" s="6">
        <v>46276</v>
      </c>
      <c r="B121" s="2" t="s">
        <v>49</v>
      </c>
      <c r="C121" s="2" t="s">
        <v>78</v>
      </c>
      <c r="D121" s="2">
        <v>2</v>
      </c>
      <c r="E121" s="7">
        <v>9050</v>
      </c>
      <c r="F121" s="8">
        <v>0.1</v>
      </c>
      <c r="G121" s="9">
        <f t="shared" si="3"/>
        <v>16290</v>
      </c>
      <c r="H121" s="4" t="str">
        <f>VLOOKUP(B121,'Store Master'!$A$2:$B$7,2,0)</f>
        <v>Vijayawada</v>
      </c>
      <c r="I121" s="4" t="str">
        <f t="shared" si="4"/>
        <v>No</v>
      </c>
      <c r="J121">
        <f t="shared" si="5"/>
        <v>9</v>
      </c>
    </row>
    <row r="122" spans="1:10" x14ac:dyDescent="0.35">
      <c r="A122" s="6">
        <v>46277</v>
      </c>
      <c r="B122" s="2" t="s">
        <v>49</v>
      </c>
      <c r="C122" s="2" t="s">
        <v>74</v>
      </c>
      <c r="D122" s="2">
        <v>3</v>
      </c>
      <c r="E122" s="7">
        <v>1450</v>
      </c>
      <c r="F122" s="8">
        <v>0.25</v>
      </c>
      <c r="G122" s="9">
        <f t="shared" si="3"/>
        <v>3262.5</v>
      </c>
      <c r="H122" s="4" t="str">
        <f>VLOOKUP(B122,'Store Master'!$A$2:$B$7,2,0)</f>
        <v>Vijayawada</v>
      </c>
      <c r="I122" s="4" t="str">
        <f t="shared" si="4"/>
        <v>Yes</v>
      </c>
      <c r="J122">
        <f t="shared" si="5"/>
        <v>9</v>
      </c>
    </row>
    <row r="123" spans="1:10" x14ac:dyDescent="0.35">
      <c r="A123" s="6">
        <v>46277</v>
      </c>
      <c r="B123" s="2" t="s">
        <v>53</v>
      </c>
      <c r="C123" s="2" t="s">
        <v>75</v>
      </c>
      <c r="D123" s="2">
        <v>2</v>
      </c>
      <c r="E123" s="7">
        <v>3700</v>
      </c>
      <c r="F123" s="8">
        <v>0.1</v>
      </c>
      <c r="G123" s="9">
        <f t="shared" si="3"/>
        <v>6660</v>
      </c>
      <c r="H123" s="4" t="str">
        <f>VLOOKUP(B123,'Store Master'!$A$2:$B$7,2,0)</f>
        <v>Visakhapatnam</v>
      </c>
      <c r="I123" s="4" t="str">
        <f t="shared" si="4"/>
        <v>No</v>
      </c>
      <c r="J123">
        <f t="shared" si="5"/>
        <v>9</v>
      </c>
    </row>
    <row r="124" spans="1:10" x14ac:dyDescent="0.35">
      <c r="A124" s="6">
        <v>46278</v>
      </c>
      <c r="B124" s="2" t="s">
        <v>45</v>
      </c>
      <c r="C124" s="2" t="s">
        <v>74</v>
      </c>
      <c r="D124" s="2">
        <v>1</v>
      </c>
      <c r="E124" s="7">
        <v>2600</v>
      </c>
      <c r="F124" s="8">
        <v>0.25</v>
      </c>
      <c r="G124" s="9">
        <f t="shared" si="3"/>
        <v>1950</v>
      </c>
      <c r="H124" s="4" t="str">
        <f>VLOOKUP(B124,'Store Master'!$A$2:$B$7,2,0)</f>
        <v>Hyderabad</v>
      </c>
      <c r="I124" s="4" t="str">
        <f t="shared" si="4"/>
        <v>Yes</v>
      </c>
      <c r="J124">
        <f t="shared" si="5"/>
        <v>9</v>
      </c>
    </row>
    <row r="125" spans="1:10" x14ac:dyDescent="0.35">
      <c r="A125" s="6">
        <v>46278</v>
      </c>
      <c r="B125" s="2" t="s">
        <v>60</v>
      </c>
      <c r="C125" s="2" t="s">
        <v>75</v>
      </c>
      <c r="D125" s="2">
        <v>2</v>
      </c>
      <c r="E125" s="7">
        <v>2150</v>
      </c>
      <c r="F125" s="8">
        <v>0.3</v>
      </c>
      <c r="G125" s="9">
        <f t="shared" si="3"/>
        <v>3010</v>
      </c>
      <c r="H125" s="4" t="str">
        <f>VLOOKUP(B125,'Store Master'!$A$2:$B$7,2,0)</f>
        <v>Chennai</v>
      </c>
      <c r="I125" s="4" t="str">
        <f t="shared" si="4"/>
        <v>Yes</v>
      </c>
      <c r="J125">
        <f t="shared" si="5"/>
        <v>9</v>
      </c>
    </row>
    <row r="126" spans="1:10" x14ac:dyDescent="0.35">
      <c r="A126" s="6">
        <v>46279</v>
      </c>
      <c r="B126" s="2" t="s">
        <v>53</v>
      </c>
      <c r="C126" s="2" t="s">
        <v>77</v>
      </c>
      <c r="D126" s="2">
        <v>1</v>
      </c>
      <c r="E126" s="7">
        <v>16300</v>
      </c>
      <c r="F126" s="8">
        <v>0.1</v>
      </c>
      <c r="G126" s="9">
        <f t="shared" si="3"/>
        <v>14670</v>
      </c>
      <c r="H126" s="4" t="str">
        <f>VLOOKUP(B126,'Store Master'!$A$2:$B$7,2,0)</f>
        <v>Visakhapatnam</v>
      </c>
      <c r="I126" s="4" t="str">
        <f t="shared" si="4"/>
        <v>No</v>
      </c>
      <c r="J126">
        <f t="shared" si="5"/>
        <v>9</v>
      </c>
    </row>
    <row r="127" spans="1:10" x14ac:dyDescent="0.35">
      <c r="A127" s="6">
        <v>46279</v>
      </c>
      <c r="B127" s="2" t="s">
        <v>60</v>
      </c>
      <c r="C127" s="2" t="s">
        <v>74</v>
      </c>
      <c r="D127" s="2">
        <v>2</v>
      </c>
      <c r="E127" s="7">
        <v>3400</v>
      </c>
      <c r="F127" s="8">
        <v>0.1</v>
      </c>
      <c r="G127" s="9">
        <f t="shared" si="3"/>
        <v>6120</v>
      </c>
      <c r="H127" s="4" t="str">
        <f>VLOOKUP(B127,'Store Master'!$A$2:$B$7,2,0)</f>
        <v>Chennai</v>
      </c>
      <c r="I127" s="4" t="str">
        <f t="shared" si="4"/>
        <v>No</v>
      </c>
      <c r="J127">
        <f t="shared" si="5"/>
        <v>9</v>
      </c>
    </row>
    <row r="128" spans="1:10" x14ac:dyDescent="0.35">
      <c r="A128" s="6">
        <v>46280</v>
      </c>
      <c r="B128" s="2" t="s">
        <v>60</v>
      </c>
      <c r="C128" s="2" t="s">
        <v>75</v>
      </c>
      <c r="D128" s="2">
        <v>1</v>
      </c>
      <c r="E128" s="7">
        <v>2750</v>
      </c>
      <c r="F128" s="8">
        <v>0.05</v>
      </c>
      <c r="G128" s="9">
        <f t="shared" si="3"/>
        <v>2612.5</v>
      </c>
      <c r="H128" s="4" t="str">
        <f>VLOOKUP(B128,'Store Master'!$A$2:$B$7,2,0)</f>
        <v>Chennai</v>
      </c>
      <c r="I128" s="4" t="str">
        <f t="shared" si="4"/>
        <v>No</v>
      </c>
      <c r="J128">
        <f t="shared" si="5"/>
        <v>9</v>
      </c>
    </row>
    <row r="129" spans="1:10" x14ac:dyDescent="0.35">
      <c r="A129" s="6">
        <v>46280</v>
      </c>
      <c r="B129" s="2" t="s">
        <v>53</v>
      </c>
      <c r="C129" s="2" t="s">
        <v>74</v>
      </c>
      <c r="D129" s="2">
        <v>3</v>
      </c>
      <c r="E129" s="7">
        <v>1950</v>
      </c>
      <c r="F129" s="8">
        <v>0.1</v>
      </c>
      <c r="G129" s="9">
        <f t="shared" si="3"/>
        <v>5265</v>
      </c>
      <c r="H129" s="4" t="str">
        <f>VLOOKUP(B129,'Store Master'!$A$2:$B$7,2,0)</f>
        <v>Visakhapatnam</v>
      </c>
      <c r="I129" s="4" t="str">
        <f t="shared" si="4"/>
        <v>No</v>
      </c>
      <c r="J129">
        <f t="shared" si="5"/>
        <v>9</v>
      </c>
    </row>
    <row r="130" spans="1:10" x14ac:dyDescent="0.35">
      <c r="A130" s="6">
        <v>46281</v>
      </c>
      <c r="B130" s="2" t="s">
        <v>49</v>
      </c>
      <c r="C130" s="2" t="s">
        <v>77</v>
      </c>
      <c r="D130" s="2">
        <v>2</v>
      </c>
      <c r="E130" s="7">
        <v>25700</v>
      </c>
      <c r="F130" s="8">
        <v>0</v>
      </c>
      <c r="G130" s="9">
        <f t="shared" si="3"/>
        <v>51400</v>
      </c>
      <c r="H130" s="4" t="str">
        <f>VLOOKUP(B130,'Store Master'!$A$2:$B$7,2,0)</f>
        <v>Vijayawada</v>
      </c>
      <c r="I130" s="4" t="str">
        <f t="shared" si="4"/>
        <v>No</v>
      </c>
      <c r="J130">
        <f t="shared" si="5"/>
        <v>9</v>
      </c>
    </row>
    <row r="131" spans="1:10" x14ac:dyDescent="0.35">
      <c r="A131" s="6">
        <v>46281</v>
      </c>
      <c r="B131" s="2" t="s">
        <v>56</v>
      </c>
      <c r="C131" s="2" t="s">
        <v>78</v>
      </c>
      <c r="D131" s="2">
        <v>2</v>
      </c>
      <c r="E131" s="7">
        <v>15400</v>
      </c>
      <c r="F131" s="8">
        <v>0.15</v>
      </c>
      <c r="G131" s="9">
        <f t="shared" ref="G131:G194" si="6">D131*E131*(1-F131)</f>
        <v>26180</v>
      </c>
      <c r="H131" s="4" t="str">
        <f>VLOOKUP(B131,'Store Master'!$A$2:$B$7,2,0)</f>
        <v>Bengaluru</v>
      </c>
      <c r="I131" s="4" t="str">
        <f t="shared" ref="I131:I194" si="7">IF(F131&gt;20%,"Yes","No")</f>
        <v>No</v>
      </c>
      <c r="J131">
        <f t="shared" ref="J131:J194" si="8">MONTH(A131)</f>
        <v>9</v>
      </c>
    </row>
    <row r="132" spans="1:10" x14ac:dyDescent="0.35">
      <c r="A132" s="6">
        <v>46282</v>
      </c>
      <c r="B132" s="2" t="s">
        <v>56</v>
      </c>
      <c r="C132" s="2" t="s">
        <v>76</v>
      </c>
      <c r="D132" s="2">
        <v>1</v>
      </c>
      <c r="E132" s="7">
        <v>2750</v>
      </c>
      <c r="F132" s="8">
        <v>0.1</v>
      </c>
      <c r="G132" s="9">
        <f t="shared" si="6"/>
        <v>2475</v>
      </c>
      <c r="H132" s="4" t="str">
        <f>VLOOKUP(B132,'Store Master'!$A$2:$B$7,2,0)</f>
        <v>Bengaluru</v>
      </c>
      <c r="I132" s="4" t="str">
        <f t="shared" si="7"/>
        <v>No</v>
      </c>
      <c r="J132">
        <f t="shared" si="8"/>
        <v>9</v>
      </c>
    </row>
    <row r="133" spans="1:10" x14ac:dyDescent="0.35">
      <c r="A133" s="6">
        <v>46282</v>
      </c>
      <c r="B133" s="2" t="s">
        <v>45</v>
      </c>
      <c r="C133" s="2" t="s">
        <v>76</v>
      </c>
      <c r="D133" s="2">
        <v>2</v>
      </c>
      <c r="E133" s="7">
        <v>3550</v>
      </c>
      <c r="F133" s="8">
        <v>0</v>
      </c>
      <c r="G133" s="9">
        <f t="shared" si="6"/>
        <v>7100</v>
      </c>
      <c r="H133" s="4" t="str">
        <f>VLOOKUP(B133,'Store Master'!$A$2:$B$7,2,0)</f>
        <v>Hyderabad</v>
      </c>
      <c r="I133" s="4" t="str">
        <f t="shared" si="7"/>
        <v>No</v>
      </c>
      <c r="J133">
        <f t="shared" si="8"/>
        <v>9</v>
      </c>
    </row>
    <row r="134" spans="1:10" x14ac:dyDescent="0.35">
      <c r="A134" s="6">
        <v>46282</v>
      </c>
      <c r="B134" s="2" t="s">
        <v>56</v>
      </c>
      <c r="C134" s="2" t="s">
        <v>77</v>
      </c>
      <c r="D134" s="2">
        <v>3</v>
      </c>
      <c r="E134" s="7">
        <v>17000</v>
      </c>
      <c r="F134" s="8">
        <v>0.2</v>
      </c>
      <c r="G134" s="9">
        <f t="shared" si="6"/>
        <v>40800</v>
      </c>
      <c r="H134" s="4" t="str">
        <f>VLOOKUP(B134,'Store Master'!$A$2:$B$7,2,0)</f>
        <v>Bengaluru</v>
      </c>
      <c r="I134" s="4" t="str">
        <f t="shared" si="7"/>
        <v>No</v>
      </c>
      <c r="J134">
        <f t="shared" si="8"/>
        <v>9</v>
      </c>
    </row>
    <row r="135" spans="1:10" x14ac:dyDescent="0.35">
      <c r="A135" s="6">
        <v>46283</v>
      </c>
      <c r="B135" s="2" t="s">
        <v>45</v>
      </c>
      <c r="C135" s="2" t="s">
        <v>75</v>
      </c>
      <c r="D135" s="2">
        <v>1</v>
      </c>
      <c r="E135" s="7">
        <v>3300</v>
      </c>
      <c r="F135" s="8">
        <v>0.25</v>
      </c>
      <c r="G135" s="9">
        <f t="shared" si="6"/>
        <v>2475</v>
      </c>
      <c r="H135" s="4" t="str">
        <f>VLOOKUP(B135,'Store Master'!$A$2:$B$7,2,0)</f>
        <v>Hyderabad</v>
      </c>
      <c r="I135" s="4" t="str">
        <f t="shared" si="7"/>
        <v>Yes</v>
      </c>
      <c r="J135">
        <f t="shared" si="8"/>
        <v>9</v>
      </c>
    </row>
    <row r="136" spans="1:10" x14ac:dyDescent="0.35">
      <c r="A136" s="6">
        <v>46283</v>
      </c>
      <c r="B136" s="2" t="s">
        <v>53</v>
      </c>
      <c r="C136" s="2" t="s">
        <v>75</v>
      </c>
      <c r="D136" s="2">
        <v>1</v>
      </c>
      <c r="E136" s="7">
        <v>5950</v>
      </c>
      <c r="F136" s="8">
        <v>0</v>
      </c>
      <c r="G136" s="9">
        <f t="shared" si="6"/>
        <v>5950</v>
      </c>
      <c r="H136" s="4" t="str">
        <f>VLOOKUP(B136,'Store Master'!$A$2:$B$7,2,0)</f>
        <v>Visakhapatnam</v>
      </c>
      <c r="I136" s="4" t="str">
        <f t="shared" si="7"/>
        <v>No</v>
      </c>
      <c r="J136">
        <f t="shared" si="8"/>
        <v>9</v>
      </c>
    </row>
    <row r="137" spans="1:10" x14ac:dyDescent="0.35">
      <c r="A137" s="6">
        <v>46283</v>
      </c>
      <c r="B137" s="2" t="s">
        <v>60</v>
      </c>
      <c r="C137" s="2" t="s">
        <v>77</v>
      </c>
      <c r="D137" s="2">
        <v>3</v>
      </c>
      <c r="E137" s="7">
        <v>25300</v>
      </c>
      <c r="F137" s="8">
        <v>0.05</v>
      </c>
      <c r="G137" s="9">
        <f t="shared" si="6"/>
        <v>72105</v>
      </c>
      <c r="H137" s="4" t="str">
        <f>VLOOKUP(B137,'Store Master'!$A$2:$B$7,2,0)</f>
        <v>Chennai</v>
      </c>
      <c r="I137" s="4" t="str">
        <f t="shared" si="7"/>
        <v>No</v>
      </c>
      <c r="J137">
        <f t="shared" si="8"/>
        <v>9</v>
      </c>
    </row>
    <row r="138" spans="1:10" x14ac:dyDescent="0.35">
      <c r="A138" s="6">
        <v>46284</v>
      </c>
      <c r="B138" s="2" t="s">
        <v>64</v>
      </c>
      <c r="C138" s="2" t="s">
        <v>77</v>
      </c>
      <c r="D138" s="2">
        <v>1</v>
      </c>
      <c r="E138" s="7">
        <v>32150</v>
      </c>
      <c r="F138" s="8">
        <v>0</v>
      </c>
      <c r="G138" s="9">
        <f t="shared" si="6"/>
        <v>32150</v>
      </c>
      <c r="H138" s="4" t="str">
        <f>VLOOKUP(B138,'Store Master'!$A$2:$B$7,2,0)</f>
        <v>Warangal</v>
      </c>
      <c r="I138" s="4" t="str">
        <f t="shared" si="7"/>
        <v>No</v>
      </c>
      <c r="J138">
        <f t="shared" si="8"/>
        <v>9</v>
      </c>
    </row>
    <row r="139" spans="1:10" x14ac:dyDescent="0.35">
      <c r="A139" s="6">
        <v>46284</v>
      </c>
      <c r="B139" s="2" t="s">
        <v>56</v>
      </c>
      <c r="C139" s="2" t="s">
        <v>76</v>
      </c>
      <c r="D139" s="2">
        <v>3</v>
      </c>
      <c r="E139" s="7">
        <v>3950</v>
      </c>
      <c r="F139" s="8">
        <v>0.3</v>
      </c>
      <c r="G139" s="9">
        <f t="shared" si="6"/>
        <v>8295</v>
      </c>
      <c r="H139" s="4" t="str">
        <f>VLOOKUP(B139,'Store Master'!$A$2:$B$7,2,0)</f>
        <v>Bengaluru</v>
      </c>
      <c r="I139" s="4" t="str">
        <f t="shared" si="7"/>
        <v>Yes</v>
      </c>
      <c r="J139">
        <f t="shared" si="8"/>
        <v>9</v>
      </c>
    </row>
    <row r="140" spans="1:10" x14ac:dyDescent="0.35">
      <c r="A140" s="6">
        <v>46286</v>
      </c>
      <c r="B140" s="2" t="s">
        <v>45</v>
      </c>
      <c r="C140" s="2" t="s">
        <v>76</v>
      </c>
      <c r="D140" s="2">
        <v>3</v>
      </c>
      <c r="E140" s="7">
        <v>1900</v>
      </c>
      <c r="F140" s="8">
        <v>0</v>
      </c>
      <c r="G140" s="9">
        <f t="shared" si="6"/>
        <v>5700</v>
      </c>
      <c r="H140" s="4" t="str">
        <f>VLOOKUP(B140,'Store Master'!$A$2:$B$7,2,0)</f>
        <v>Hyderabad</v>
      </c>
      <c r="I140" s="4" t="str">
        <f t="shared" si="7"/>
        <v>No</v>
      </c>
      <c r="J140">
        <f t="shared" si="8"/>
        <v>9</v>
      </c>
    </row>
    <row r="141" spans="1:10" x14ac:dyDescent="0.35">
      <c r="A141" s="6">
        <v>46286</v>
      </c>
      <c r="B141" s="2" t="s">
        <v>53</v>
      </c>
      <c r="C141" s="2" t="s">
        <v>74</v>
      </c>
      <c r="D141" s="2">
        <v>2</v>
      </c>
      <c r="E141" s="7">
        <v>1100</v>
      </c>
      <c r="F141" s="8">
        <v>0.15</v>
      </c>
      <c r="G141" s="9">
        <f t="shared" si="6"/>
        <v>1870</v>
      </c>
      <c r="H141" s="4" t="str">
        <f>VLOOKUP(B141,'Store Master'!$A$2:$B$7,2,0)</f>
        <v>Visakhapatnam</v>
      </c>
      <c r="I141" s="4" t="str">
        <f t="shared" si="7"/>
        <v>No</v>
      </c>
      <c r="J141">
        <f t="shared" si="8"/>
        <v>9</v>
      </c>
    </row>
    <row r="142" spans="1:10" x14ac:dyDescent="0.35">
      <c r="A142" s="6">
        <v>46286</v>
      </c>
      <c r="B142" s="2" t="s">
        <v>60</v>
      </c>
      <c r="C142" s="2" t="s">
        <v>78</v>
      </c>
      <c r="D142" s="2">
        <v>2</v>
      </c>
      <c r="E142" s="7">
        <v>9500</v>
      </c>
      <c r="F142" s="8">
        <v>0.1</v>
      </c>
      <c r="G142" s="9">
        <f t="shared" si="6"/>
        <v>17100</v>
      </c>
      <c r="H142" s="4" t="str">
        <f>VLOOKUP(B142,'Store Master'!$A$2:$B$7,2,0)</f>
        <v>Chennai</v>
      </c>
      <c r="I142" s="4" t="str">
        <f t="shared" si="7"/>
        <v>No</v>
      </c>
      <c r="J142">
        <f t="shared" si="8"/>
        <v>9</v>
      </c>
    </row>
    <row r="143" spans="1:10" x14ac:dyDescent="0.35">
      <c r="A143" s="6">
        <v>46286</v>
      </c>
      <c r="B143" s="2" t="s">
        <v>64</v>
      </c>
      <c r="C143" s="2" t="s">
        <v>77</v>
      </c>
      <c r="D143" s="2">
        <v>3</v>
      </c>
      <c r="E143" s="7">
        <v>19050</v>
      </c>
      <c r="F143" s="8">
        <v>0.15</v>
      </c>
      <c r="G143" s="9">
        <f t="shared" si="6"/>
        <v>48577.5</v>
      </c>
      <c r="H143" s="4" t="str">
        <f>VLOOKUP(B143,'Store Master'!$A$2:$B$7,2,0)</f>
        <v>Warangal</v>
      </c>
      <c r="I143" s="4" t="str">
        <f t="shared" si="7"/>
        <v>No</v>
      </c>
      <c r="J143">
        <f t="shared" si="8"/>
        <v>9</v>
      </c>
    </row>
    <row r="144" spans="1:10" x14ac:dyDescent="0.35">
      <c r="A144" s="6">
        <v>46287</v>
      </c>
      <c r="B144" s="2" t="s">
        <v>64</v>
      </c>
      <c r="C144" s="2" t="s">
        <v>77</v>
      </c>
      <c r="D144" s="2">
        <v>1</v>
      </c>
      <c r="E144" s="7">
        <v>17750</v>
      </c>
      <c r="F144" s="8">
        <v>0</v>
      </c>
      <c r="G144" s="9">
        <f t="shared" si="6"/>
        <v>17750</v>
      </c>
      <c r="H144" s="4" t="str">
        <f>VLOOKUP(B144,'Store Master'!$A$2:$B$7,2,0)</f>
        <v>Warangal</v>
      </c>
      <c r="I144" s="4" t="str">
        <f t="shared" si="7"/>
        <v>No</v>
      </c>
      <c r="J144">
        <f t="shared" si="8"/>
        <v>9</v>
      </c>
    </row>
    <row r="145" spans="1:10" x14ac:dyDescent="0.35">
      <c r="A145" s="6">
        <v>46287</v>
      </c>
      <c r="B145" s="2" t="s">
        <v>56</v>
      </c>
      <c r="C145" s="2" t="s">
        <v>76</v>
      </c>
      <c r="D145" s="2">
        <v>3</v>
      </c>
      <c r="E145" s="7">
        <v>1900</v>
      </c>
      <c r="F145" s="8">
        <v>0.25</v>
      </c>
      <c r="G145" s="9">
        <f t="shared" si="6"/>
        <v>4275</v>
      </c>
      <c r="H145" s="4" t="str">
        <f>VLOOKUP(B145,'Store Master'!$A$2:$B$7,2,0)</f>
        <v>Bengaluru</v>
      </c>
      <c r="I145" s="4" t="str">
        <f t="shared" si="7"/>
        <v>Yes</v>
      </c>
      <c r="J145">
        <f t="shared" si="8"/>
        <v>9</v>
      </c>
    </row>
    <row r="146" spans="1:10" x14ac:dyDescent="0.35">
      <c r="A146" s="6">
        <v>46288</v>
      </c>
      <c r="B146" s="2" t="s">
        <v>49</v>
      </c>
      <c r="C146" s="2" t="s">
        <v>75</v>
      </c>
      <c r="D146" s="2">
        <v>1</v>
      </c>
      <c r="E146" s="7">
        <v>3800</v>
      </c>
      <c r="F146" s="8">
        <v>0.05</v>
      </c>
      <c r="G146" s="9">
        <f t="shared" si="6"/>
        <v>3610</v>
      </c>
      <c r="H146" s="4" t="str">
        <f>VLOOKUP(B146,'Store Master'!$A$2:$B$7,2,0)</f>
        <v>Vijayawada</v>
      </c>
      <c r="I146" s="4" t="str">
        <f t="shared" si="7"/>
        <v>No</v>
      </c>
      <c r="J146">
        <f t="shared" si="8"/>
        <v>9</v>
      </c>
    </row>
    <row r="147" spans="1:10" x14ac:dyDescent="0.35">
      <c r="A147" s="6">
        <v>46288</v>
      </c>
      <c r="B147" s="2" t="s">
        <v>64</v>
      </c>
      <c r="C147" s="2" t="s">
        <v>75</v>
      </c>
      <c r="D147" s="2">
        <v>3</v>
      </c>
      <c r="E147" s="7">
        <v>2900</v>
      </c>
      <c r="F147" s="8">
        <v>0.1</v>
      </c>
      <c r="G147" s="9">
        <f t="shared" si="6"/>
        <v>7830</v>
      </c>
      <c r="H147" s="4" t="str">
        <f>VLOOKUP(B147,'Store Master'!$A$2:$B$7,2,0)</f>
        <v>Warangal</v>
      </c>
      <c r="I147" s="4" t="str">
        <f t="shared" si="7"/>
        <v>No</v>
      </c>
      <c r="J147">
        <f t="shared" si="8"/>
        <v>9</v>
      </c>
    </row>
    <row r="148" spans="1:10" x14ac:dyDescent="0.35">
      <c r="A148" s="6">
        <v>46288</v>
      </c>
      <c r="B148" s="2" t="s">
        <v>56</v>
      </c>
      <c r="C148" s="2" t="s">
        <v>74</v>
      </c>
      <c r="D148" s="2">
        <v>2</v>
      </c>
      <c r="E148" s="7">
        <v>3000</v>
      </c>
      <c r="F148" s="8">
        <v>0.2</v>
      </c>
      <c r="G148" s="9">
        <f t="shared" si="6"/>
        <v>4800</v>
      </c>
      <c r="H148" s="4" t="str">
        <f>VLOOKUP(B148,'Store Master'!$A$2:$B$7,2,0)</f>
        <v>Bengaluru</v>
      </c>
      <c r="I148" s="4" t="str">
        <f t="shared" si="7"/>
        <v>No</v>
      </c>
      <c r="J148">
        <f t="shared" si="8"/>
        <v>9</v>
      </c>
    </row>
    <row r="149" spans="1:10" x14ac:dyDescent="0.35">
      <c r="A149" s="6">
        <v>46288</v>
      </c>
      <c r="B149" s="2" t="s">
        <v>56</v>
      </c>
      <c r="C149" s="2" t="s">
        <v>78</v>
      </c>
      <c r="D149" s="2">
        <v>2</v>
      </c>
      <c r="E149" s="7">
        <v>11600</v>
      </c>
      <c r="F149" s="8">
        <v>0.25</v>
      </c>
      <c r="G149" s="9">
        <f t="shared" si="6"/>
        <v>17400</v>
      </c>
      <c r="H149" s="4" t="str">
        <f>VLOOKUP(B149,'Store Master'!$A$2:$B$7,2,0)</f>
        <v>Bengaluru</v>
      </c>
      <c r="I149" s="4" t="str">
        <f t="shared" si="7"/>
        <v>Yes</v>
      </c>
      <c r="J149">
        <f t="shared" si="8"/>
        <v>9</v>
      </c>
    </row>
    <row r="150" spans="1:10" x14ac:dyDescent="0.35">
      <c r="A150" s="6">
        <v>46288</v>
      </c>
      <c r="B150" s="2" t="s">
        <v>56</v>
      </c>
      <c r="C150" s="2" t="s">
        <v>75</v>
      </c>
      <c r="D150" s="2">
        <v>2</v>
      </c>
      <c r="E150" s="7">
        <v>3500</v>
      </c>
      <c r="F150" s="8">
        <v>0.3</v>
      </c>
      <c r="G150" s="9">
        <f t="shared" si="6"/>
        <v>4900</v>
      </c>
      <c r="H150" s="4" t="str">
        <f>VLOOKUP(B150,'Store Master'!$A$2:$B$7,2,0)</f>
        <v>Bengaluru</v>
      </c>
      <c r="I150" s="4" t="str">
        <f t="shared" si="7"/>
        <v>Yes</v>
      </c>
      <c r="J150">
        <f t="shared" si="8"/>
        <v>9</v>
      </c>
    </row>
    <row r="151" spans="1:10" x14ac:dyDescent="0.35">
      <c r="A151" s="6">
        <v>46289</v>
      </c>
      <c r="B151" s="2" t="s">
        <v>53</v>
      </c>
      <c r="C151" s="2" t="s">
        <v>74</v>
      </c>
      <c r="D151" s="2">
        <v>1</v>
      </c>
      <c r="E151" s="7">
        <v>1450</v>
      </c>
      <c r="F151" s="8">
        <v>0.15</v>
      </c>
      <c r="G151" s="9">
        <f t="shared" si="6"/>
        <v>1232.5</v>
      </c>
      <c r="H151" s="4" t="str">
        <f>VLOOKUP(B151,'Store Master'!$A$2:$B$7,2,0)</f>
        <v>Visakhapatnam</v>
      </c>
      <c r="I151" s="4" t="str">
        <f t="shared" si="7"/>
        <v>No</v>
      </c>
      <c r="J151">
        <f t="shared" si="8"/>
        <v>9</v>
      </c>
    </row>
    <row r="152" spans="1:10" x14ac:dyDescent="0.35">
      <c r="A152" s="6">
        <v>46289</v>
      </c>
      <c r="B152" s="2" t="s">
        <v>56</v>
      </c>
      <c r="C152" s="2" t="s">
        <v>75</v>
      </c>
      <c r="D152" s="2">
        <v>3</v>
      </c>
      <c r="E152" s="7">
        <v>1950</v>
      </c>
      <c r="F152" s="8">
        <v>0</v>
      </c>
      <c r="G152" s="9">
        <f t="shared" si="6"/>
        <v>5850</v>
      </c>
      <c r="H152" s="4" t="str">
        <f>VLOOKUP(B152,'Store Master'!$A$2:$B$7,2,0)</f>
        <v>Bengaluru</v>
      </c>
      <c r="I152" s="4" t="str">
        <f t="shared" si="7"/>
        <v>No</v>
      </c>
      <c r="J152">
        <f t="shared" si="8"/>
        <v>9</v>
      </c>
    </row>
    <row r="153" spans="1:10" x14ac:dyDescent="0.35">
      <c r="A153" s="6">
        <v>46290</v>
      </c>
      <c r="B153" s="2" t="s">
        <v>53</v>
      </c>
      <c r="C153" s="2" t="s">
        <v>74</v>
      </c>
      <c r="D153" s="2">
        <v>3</v>
      </c>
      <c r="E153" s="7">
        <v>2600</v>
      </c>
      <c r="F153" s="8">
        <v>0.3</v>
      </c>
      <c r="G153" s="9">
        <f t="shared" si="6"/>
        <v>5460</v>
      </c>
      <c r="H153" s="4" t="str">
        <f>VLOOKUP(B153,'Store Master'!$A$2:$B$7,2,0)</f>
        <v>Visakhapatnam</v>
      </c>
      <c r="I153" s="4" t="str">
        <f t="shared" si="7"/>
        <v>Yes</v>
      </c>
      <c r="J153">
        <f t="shared" si="8"/>
        <v>9</v>
      </c>
    </row>
    <row r="154" spans="1:10" x14ac:dyDescent="0.35">
      <c r="A154" s="6">
        <v>46290</v>
      </c>
      <c r="B154" s="2" t="s">
        <v>45</v>
      </c>
      <c r="C154" s="2" t="s">
        <v>76</v>
      </c>
      <c r="D154" s="2">
        <v>3</v>
      </c>
      <c r="E154" s="7">
        <v>3100</v>
      </c>
      <c r="F154" s="8">
        <v>0.1</v>
      </c>
      <c r="G154" s="9">
        <f t="shared" si="6"/>
        <v>8370</v>
      </c>
      <c r="H154" s="4" t="str">
        <f>VLOOKUP(B154,'Store Master'!$A$2:$B$7,2,0)</f>
        <v>Hyderabad</v>
      </c>
      <c r="I154" s="4" t="str">
        <f t="shared" si="7"/>
        <v>No</v>
      </c>
      <c r="J154">
        <f t="shared" si="8"/>
        <v>9</v>
      </c>
    </row>
    <row r="155" spans="1:10" x14ac:dyDescent="0.35">
      <c r="A155" s="6">
        <v>46290</v>
      </c>
      <c r="B155" s="2" t="s">
        <v>60</v>
      </c>
      <c r="C155" s="2" t="s">
        <v>76</v>
      </c>
      <c r="D155" s="2">
        <v>2</v>
      </c>
      <c r="E155" s="7">
        <v>3600</v>
      </c>
      <c r="F155" s="8">
        <v>0.25</v>
      </c>
      <c r="G155" s="9">
        <f t="shared" si="6"/>
        <v>5400</v>
      </c>
      <c r="H155" s="4" t="str">
        <f>VLOOKUP(B155,'Store Master'!$A$2:$B$7,2,0)</f>
        <v>Chennai</v>
      </c>
      <c r="I155" s="4" t="str">
        <f t="shared" si="7"/>
        <v>Yes</v>
      </c>
      <c r="J155">
        <f t="shared" si="8"/>
        <v>9</v>
      </c>
    </row>
    <row r="156" spans="1:10" x14ac:dyDescent="0.35">
      <c r="A156" s="6">
        <v>46290</v>
      </c>
      <c r="B156" s="2" t="s">
        <v>45</v>
      </c>
      <c r="C156" s="2" t="s">
        <v>78</v>
      </c>
      <c r="D156" s="2">
        <v>1</v>
      </c>
      <c r="E156" s="7">
        <v>11750</v>
      </c>
      <c r="F156" s="8">
        <v>0.1</v>
      </c>
      <c r="G156" s="9">
        <f t="shared" si="6"/>
        <v>10575</v>
      </c>
      <c r="H156" s="4" t="str">
        <f>VLOOKUP(B156,'Store Master'!$A$2:$B$7,2,0)</f>
        <v>Hyderabad</v>
      </c>
      <c r="I156" s="4" t="str">
        <f t="shared" si="7"/>
        <v>No</v>
      </c>
      <c r="J156">
        <f t="shared" si="8"/>
        <v>9</v>
      </c>
    </row>
    <row r="157" spans="1:10" x14ac:dyDescent="0.35">
      <c r="A157" s="6">
        <v>46291</v>
      </c>
      <c r="B157" s="2" t="s">
        <v>56</v>
      </c>
      <c r="C157" s="2" t="s">
        <v>77</v>
      </c>
      <c r="D157" s="2">
        <v>2</v>
      </c>
      <c r="E157" s="7">
        <v>25750</v>
      </c>
      <c r="F157" s="8">
        <v>0.05</v>
      </c>
      <c r="G157" s="9">
        <f t="shared" si="6"/>
        <v>48925</v>
      </c>
      <c r="H157" s="4" t="str">
        <f>VLOOKUP(B157,'Store Master'!$A$2:$B$7,2,0)</f>
        <v>Bengaluru</v>
      </c>
      <c r="I157" s="4" t="str">
        <f t="shared" si="7"/>
        <v>No</v>
      </c>
      <c r="J157">
        <f t="shared" si="8"/>
        <v>9</v>
      </c>
    </row>
    <row r="158" spans="1:10" x14ac:dyDescent="0.35">
      <c r="A158" s="6">
        <v>46291</v>
      </c>
      <c r="B158" s="2" t="s">
        <v>60</v>
      </c>
      <c r="C158" s="2" t="s">
        <v>76</v>
      </c>
      <c r="D158" s="2">
        <v>3</v>
      </c>
      <c r="E158" s="7">
        <v>2650</v>
      </c>
      <c r="F158" s="8">
        <v>0.25</v>
      </c>
      <c r="G158" s="9">
        <f t="shared" si="6"/>
        <v>5962.5</v>
      </c>
      <c r="H158" s="4" t="str">
        <f>VLOOKUP(B158,'Store Master'!$A$2:$B$7,2,0)</f>
        <v>Chennai</v>
      </c>
      <c r="I158" s="4" t="str">
        <f t="shared" si="7"/>
        <v>Yes</v>
      </c>
      <c r="J158">
        <f t="shared" si="8"/>
        <v>9</v>
      </c>
    </row>
    <row r="159" spans="1:10" x14ac:dyDescent="0.35">
      <c r="A159" s="6">
        <v>46291</v>
      </c>
      <c r="B159" s="2" t="s">
        <v>45</v>
      </c>
      <c r="C159" s="2" t="s">
        <v>75</v>
      </c>
      <c r="D159" s="2">
        <v>3</v>
      </c>
      <c r="E159" s="7">
        <v>4000</v>
      </c>
      <c r="F159" s="8">
        <v>0.2</v>
      </c>
      <c r="G159" s="9">
        <f t="shared" si="6"/>
        <v>9600</v>
      </c>
      <c r="H159" s="4" t="str">
        <f>VLOOKUP(B159,'Store Master'!$A$2:$B$7,2,0)</f>
        <v>Hyderabad</v>
      </c>
      <c r="I159" s="4" t="str">
        <f t="shared" si="7"/>
        <v>No</v>
      </c>
      <c r="J159">
        <f t="shared" si="8"/>
        <v>9</v>
      </c>
    </row>
    <row r="160" spans="1:10" x14ac:dyDescent="0.35">
      <c r="A160" s="6">
        <v>46291</v>
      </c>
      <c r="B160" s="2" t="s">
        <v>64</v>
      </c>
      <c r="C160" s="2" t="s">
        <v>75</v>
      </c>
      <c r="D160" s="2">
        <v>1</v>
      </c>
      <c r="E160" s="7">
        <v>2500</v>
      </c>
      <c r="F160" s="8">
        <v>0.1</v>
      </c>
      <c r="G160" s="9">
        <f t="shared" si="6"/>
        <v>2250</v>
      </c>
      <c r="H160" s="4" t="str">
        <f>VLOOKUP(B160,'Store Master'!$A$2:$B$7,2,0)</f>
        <v>Warangal</v>
      </c>
      <c r="I160" s="4" t="str">
        <f t="shared" si="7"/>
        <v>No</v>
      </c>
      <c r="J160">
        <f t="shared" si="8"/>
        <v>9</v>
      </c>
    </row>
    <row r="161" spans="1:10" x14ac:dyDescent="0.35">
      <c r="A161" s="6">
        <v>46292</v>
      </c>
      <c r="B161" s="2" t="s">
        <v>56</v>
      </c>
      <c r="C161" s="2" t="s">
        <v>74</v>
      </c>
      <c r="D161" s="2">
        <v>2</v>
      </c>
      <c r="E161" s="7">
        <v>3200</v>
      </c>
      <c r="F161" s="8">
        <v>0.1</v>
      </c>
      <c r="G161" s="9">
        <f t="shared" si="6"/>
        <v>5760</v>
      </c>
      <c r="H161" s="4" t="str">
        <f>VLOOKUP(B161,'Store Master'!$A$2:$B$7,2,0)</f>
        <v>Bengaluru</v>
      </c>
      <c r="I161" s="4" t="str">
        <f t="shared" si="7"/>
        <v>No</v>
      </c>
      <c r="J161">
        <f t="shared" si="8"/>
        <v>9</v>
      </c>
    </row>
    <row r="162" spans="1:10" x14ac:dyDescent="0.35">
      <c r="A162" s="6">
        <v>46293</v>
      </c>
      <c r="B162" s="2" t="s">
        <v>64</v>
      </c>
      <c r="C162" s="2" t="s">
        <v>74</v>
      </c>
      <c r="D162" s="2">
        <v>2</v>
      </c>
      <c r="E162" s="7">
        <v>1450</v>
      </c>
      <c r="F162" s="8">
        <v>0.15</v>
      </c>
      <c r="G162" s="9">
        <f t="shared" si="6"/>
        <v>2465</v>
      </c>
      <c r="H162" s="4" t="str">
        <f>VLOOKUP(B162,'Store Master'!$A$2:$B$7,2,0)</f>
        <v>Warangal</v>
      </c>
      <c r="I162" s="4" t="str">
        <f t="shared" si="7"/>
        <v>No</v>
      </c>
      <c r="J162">
        <f t="shared" si="8"/>
        <v>9</v>
      </c>
    </row>
    <row r="163" spans="1:10" x14ac:dyDescent="0.35">
      <c r="A163" s="6">
        <v>46293</v>
      </c>
      <c r="B163" s="2" t="s">
        <v>53</v>
      </c>
      <c r="C163" s="2" t="s">
        <v>75</v>
      </c>
      <c r="D163" s="2">
        <v>1</v>
      </c>
      <c r="E163" s="7">
        <v>5500</v>
      </c>
      <c r="F163" s="8">
        <v>0.1</v>
      </c>
      <c r="G163" s="9">
        <f t="shared" si="6"/>
        <v>4950</v>
      </c>
      <c r="H163" s="4" t="str">
        <f>VLOOKUP(B163,'Store Master'!$A$2:$B$7,2,0)</f>
        <v>Visakhapatnam</v>
      </c>
      <c r="I163" s="4" t="str">
        <f t="shared" si="7"/>
        <v>No</v>
      </c>
      <c r="J163">
        <f t="shared" si="8"/>
        <v>9</v>
      </c>
    </row>
    <row r="164" spans="1:10" x14ac:dyDescent="0.35">
      <c r="A164" s="6">
        <v>46293</v>
      </c>
      <c r="B164" s="2" t="s">
        <v>56</v>
      </c>
      <c r="C164" s="2" t="s">
        <v>76</v>
      </c>
      <c r="D164" s="2">
        <v>3</v>
      </c>
      <c r="E164" s="7">
        <v>1700</v>
      </c>
      <c r="F164" s="8">
        <v>0.2</v>
      </c>
      <c r="G164" s="9">
        <f t="shared" si="6"/>
        <v>4080</v>
      </c>
      <c r="H164" s="4" t="str">
        <f>VLOOKUP(B164,'Store Master'!$A$2:$B$7,2,0)</f>
        <v>Bengaluru</v>
      </c>
      <c r="I164" s="4" t="str">
        <f t="shared" si="7"/>
        <v>No</v>
      </c>
      <c r="J164">
        <f t="shared" si="8"/>
        <v>9</v>
      </c>
    </row>
    <row r="165" spans="1:10" x14ac:dyDescent="0.35">
      <c r="A165" s="6">
        <v>46293</v>
      </c>
      <c r="B165" s="2" t="s">
        <v>53</v>
      </c>
      <c r="C165" s="2" t="s">
        <v>77</v>
      </c>
      <c r="D165" s="2">
        <v>2</v>
      </c>
      <c r="E165" s="7">
        <v>21600</v>
      </c>
      <c r="F165" s="8">
        <v>0</v>
      </c>
      <c r="G165" s="9">
        <f t="shared" si="6"/>
        <v>43200</v>
      </c>
      <c r="H165" s="4" t="str">
        <f>VLOOKUP(B165,'Store Master'!$A$2:$B$7,2,0)</f>
        <v>Visakhapatnam</v>
      </c>
      <c r="I165" s="4" t="str">
        <f t="shared" si="7"/>
        <v>No</v>
      </c>
      <c r="J165">
        <f t="shared" si="8"/>
        <v>9</v>
      </c>
    </row>
    <row r="166" spans="1:10" x14ac:dyDescent="0.35">
      <c r="A166" s="6">
        <v>46294</v>
      </c>
      <c r="B166" s="2" t="s">
        <v>45</v>
      </c>
      <c r="C166" s="2" t="s">
        <v>76</v>
      </c>
      <c r="D166" s="2">
        <v>1</v>
      </c>
      <c r="E166" s="7">
        <v>1900</v>
      </c>
      <c r="F166" s="8">
        <v>0.25</v>
      </c>
      <c r="G166" s="9">
        <f t="shared" si="6"/>
        <v>1425</v>
      </c>
      <c r="H166" s="4" t="str">
        <f>VLOOKUP(B166,'Store Master'!$A$2:$B$7,2,0)</f>
        <v>Hyderabad</v>
      </c>
      <c r="I166" s="4" t="str">
        <f t="shared" si="7"/>
        <v>Yes</v>
      </c>
      <c r="J166">
        <f t="shared" si="8"/>
        <v>9</v>
      </c>
    </row>
    <row r="167" spans="1:10" x14ac:dyDescent="0.35">
      <c r="A167" s="6">
        <v>46294</v>
      </c>
      <c r="B167" s="2" t="s">
        <v>49</v>
      </c>
      <c r="C167" s="2" t="s">
        <v>76</v>
      </c>
      <c r="D167" s="2">
        <v>1</v>
      </c>
      <c r="E167" s="7">
        <v>3100</v>
      </c>
      <c r="F167" s="8">
        <v>0.2</v>
      </c>
      <c r="G167" s="9">
        <f t="shared" si="6"/>
        <v>2480</v>
      </c>
      <c r="H167" s="4" t="str">
        <f>VLOOKUP(B167,'Store Master'!$A$2:$B$7,2,0)</f>
        <v>Vijayawada</v>
      </c>
      <c r="I167" s="4" t="str">
        <f t="shared" si="7"/>
        <v>No</v>
      </c>
      <c r="J167">
        <f t="shared" si="8"/>
        <v>9</v>
      </c>
    </row>
    <row r="168" spans="1:10" x14ac:dyDescent="0.35">
      <c r="A168" s="6">
        <v>46294</v>
      </c>
      <c r="B168" s="2" t="s">
        <v>64</v>
      </c>
      <c r="C168" s="2" t="s">
        <v>74</v>
      </c>
      <c r="D168" s="2">
        <v>1</v>
      </c>
      <c r="E168" s="7">
        <v>2300</v>
      </c>
      <c r="F168" s="8">
        <v>0</v>
      </c>
      <c r="G168" s="9">
        <f t="shared" si="6"/>
        <v>2300</v>
      </c>
      <c r="H168" s="4" t="str">
        <f>VLOOKUP(B168,'Store Master'!$A$2:$B$7,2,0)</f>
        <v>Warangal</v>
      </c>
      <c r="I168" s="4" t="str">
        <f t="shared" si="7"/>
        <v>No</v>
      </c>
      <c r="J168">
        <f t="shared" si="8"/>
        <v>9</v>
      </c>
    </row>
    <row r="169" spans="1:10" x14ac:dyDescent="0.35">
      <c r="A169" s="6">
        <v>46294</v>
      </c>
      <c r="B169" s="2" t="s">
        <v>60</v>
      </c>
      <c r="C169" s="2" t="s">
        <v>76</v>
      </c>
      <c r="D169" s="2">
        <v>2</v>
      </c>
      <c r="E169" s="7">
        <v>3650</v>
      </c>
      <c r="F169" s="8">
        <v>0.15</v>
      </c>
      <c r="G169" s="9">
        <f t="shared" si="6"/>
        <v>6205</v>
      </c>
      <c r="H169" s="4" t="str">
        <f>VLOOKUP(B169,'Store Master'!$A$2:$B$7,2,0)</f>
        <v>Chennai</v>
      </c>
      <c r="I169" s="4" t="str">
        <f t="shared" si="7"/>
        <v>No</v>
      </c>
      <c r="J169">
        <f t="shared" si="8"/>
        <v>9</v>
      </c>
    </row>
    <row r="170" spans="1:10" x14ac:dyDescent="0.35">
      <c r="A170" s="6">
        <v>46294</v>
      </c>
      <c r="B170" s="2" t="s">
        <v>53</v>
      </c>
      <c r="C170" s="2" t="s">
        <v>76</v>
      </c>
      <c r="D170" s="2">
        <v>1</v>
      </c>
      <c r="E170" s="7">
        <v>1550</v>
      </c>
      <c r="F170" s="8">
        <v>0.25</v>
      </c>
      <c r="G170" s="9">
        <f t="shared" si="6"/>
        <v>1162.5</v>
      </c>
      <c r="H170" s="4" t="str">
        <f>VLOOKUP(B170,'Store Master'!$A$2:$B$7,2,0)</f>
        <v>Visakhapatnam</v>
      </c>
      <c r="I170" s="4" t="str">
        <f t="shared" si="7"/>
        <v>Yes</v>
      </c>
      <c r="J170">
        <f t="shared" si="8"/>
        <v>9</v>
      </c>
    </row>
    <row r="171" spans="1:10" x14ac:dyDescent="0.35">
      <c r="A171" s="6">
        <v>46295</v>
      </c>
      <c r="B171" s="2" t="s">
        <v>60</v>
      </c>
      <c r="C171" s="2" t="s">
        <v>76</v>
      </c>
      <c r="D171" s="2">
        <v>2</v>
      </c>
      <c r="E171" s="7">
        <v>2300</v>
      </c>
      <c r="F171" s="8">
        <v>0.3</v>
      </c>
      <c r="G171" s="9">
        <f t="shared" si="6"/>
        <v>3220</v>
      </c>
      <c r="H171" s="4" t="str">
        <f>VLOOKUP(B171,'Store Master'!$A$2:$B$7,2,0)</f>
        <v>Chennai</v>
      </c>
      <c r="I171" s="4" t="str">
        <f t="shared" si="7"/>
        <v>Yes</v>
      </c>
      <c r="J171">
        <f t="shared" si="8"/>
        <v>9</v>
      </c>
    </row>
    <row r="172" spans="1:10" x14ac:dyDescent="0.35">
      <c r="A172" s="6">
        <v>46295</v>
      </c>
      <c r="B172" s="2" t="s">
        <v>56</v>
      </c>
      <c r="C172" s="2" t="s">
        <v>75</v>
      </c>
      <c r="D172" s="2">
        <v>1</v>
      </c>
      <c r="E172" s="7">
        <v>4300</v>
      </c>
      <c r="F172" s="8">
        <v>0</v>
      </c>
      <c r="G172" s="9">
        <f t="shared" si="6"/>
        <v>4300</v>
      </c>
      <c r="H172" s="4" t="str">
        <f>VLOOKUP(B172,'Store Master'!$A$2:$B$7,2,0)</f>
        <v>Bengaluru</v>
      </c>
      <c r="I172" s="4" t="str">
        <f t="shared" si="7"/>
        <v>No</v>
      </c>
      <c r="J172">
        <f t="shared" si="8"/>
        <v>9</v>
      </c>
    </row>
    <row r="173" spans="1:10" x14ac:dyDescent="0.35">
      <c r="A173" s="6">
        <v>46297</v>
      </c>
      <c r="B173" s="2" t="s">
        <v>45</v>
      </c>
      <c r="C173" s="2" t="s">
        <v>76</v>
      </c>
      <c r="D173" s="2">
        <v>1</v>
      </c>
      <c r="E173" s="7">
        <v>1400</v>
      </c>
      <c r="F173" s="8">
        <v>0.25</v>
      </c>
      <c r="G173" s="9">
        <f t="shared" si="6"/>
        <v>1050</v>
      </c>
      <c r="H173" s="4" t="str">
        <f>VLOOKUP(B173,'Store Master'!$A$2:$B$7,2,0)</f>
        <v>Hyderabad</v>
      </c>
      <c r="I173" s="4" t="str">
        <f t="shared" si="7"/>
        <v>Yes</v>
      </c>
      <c r="J173">
        <f t="shared" si="8"/>
        <v>10</v>
      </c>
    </row>
    <row r="174" spans="1:10" x14ac:dyDescent="0.35">
      <c r="A174" s="6">
        <v>46297</v>
      </c>
      <c r="B174" s="2" t="s">
        <v>56</v>
      </c>
      <c r="C174" s="2" t="s">
        <v>78</v>
      </c>
      <c r="D174" s="2">
        <v>2</v>
      </c>
      <c r="E174" s="7">
        <v>6000</v>
      </c>
      <c r="F174" s="8">
        <v>0.1</v>
      </c>
      <c r="G174" s="9">
        <f t="shared" si="6"/>
        <v>10800</v>
      </c>
      <c r="H174" s="4" t="str">
        <f>VLOOKUP(B174,'Store Master'!$A$2:$B$7,2,0)</f>
        <v>Bengaluru</v>
      </c>
      <c r="I174" s="4" t="str">
        <f t="shared" si="7"/>
        <v>No</v>
      </c>
      <c r="J174">
        <f t="shared" si="8"/>
        <v>10</v>
      </c>
    </row>
    <row r="175" spans="1:10" x14ac:dyDescent="0.35">
      <c r="A175" s="6">
        <v>46297</v>
      </c>
      <c r="B175" s="2" t="s">
        <v>45</v>
      </c>
      <c r="C175" s="2" t="s">
        <v>76</v>
      </c>
      <c r="D175" s="2">
        <v>3</v>
      </c>
      <c r="E175" s="7">
        <v>3500</v>
      </c>
      <c r="F175" s="8">
        <v>0</v>
      </c>
      <c r="G175" s="9">
        <f t="shared" si="6"/>
        <v>10500</v>
      </c>
      <c r="H175" s="4" t="str">
        <f>VLOOKUP(B175,'Store Master'!$A$2:$B$7,2,0)</f>
        <v>Hyderabad</v>
      </c>
      <c r="I175" s="4" t="str">
        <f t="shared" si="7"/>
        <v>No</v>
      </c>
      <c r="J175">
        <f t="shared" si="8"/>
        <v>10</v>
      </c>
    </row>
    <row r="176" spans="1:10" x14ac:dyDescent="0.35">
      <c r="A176" s="6">
        <v>46298</v>
      </c>
      <c r="B176" s="2" t="s">
        <v>56</v>
      </c>
      <c r="C176" s="2" t="s">
        <v>77</v>
      </c>
      <c r="D176" s="2">
        <v>3</v>
      </c>
      <c r="E176" s="7">
        <v>13850</v>
      </c>
      <c r="F176" s="8">
        <v>0</v>
      </c>
      <c r="G176" s="9">
        <f t="shared" si="6"/>
        <v>41550</v>
      </c>
      <c r="H176" s="4" t="str">
        <f>VLOOKUP(B176,'Store Master'!$A$2:$B$7,2,0)</f>
        <v>Bengaluru</v>
      </c>
      <c r="I176" s="4" t="str">
        <f t="shared" si="7"/>
        <v>No</v>
      </c>
      <c r="J176">
        <f t="shared" si="8"/>
        <v>10</v>
      </c>
    </row>
    <row r="177" spans="1:10" x14ac:dyDescent="0.35">
      <c r="A177" s="6">
        <v>46298</v>
      </c>
      <c r="B177" s="2" t="s">
        <v>64</v>
      </c>
      <c r="C177" s="2" t="s">
        <v>74</v>
      </c>
      <c r="D177" s="2">
        <v>3</v>
      </c>
      <c r="E177" s="7">
        <v>2900</v>
      </c>
      <c r="F177" s="8">
        <v>0.1</v>
      </c>
      <c r="G177" s="9">
        <f t="shared" si="6"/>
        <v>7830</v>
      </c>
      <c r="H177" s="4" t="str">
        <f>VLOOKUP(B177,'Store Master'!$A$2:$B$7,2,0)</f>
        <v>Warangal</v>
      </c>
      <c r="I177" s="4" t="str">
        <f t="shared" si="7"/>
        <v>No</v>
      </c>
      <c r="J177">
        <f t="shared" si="8"/>
        <v>10</v>
      </c>
    </row>
    <row r="178" spans="1:10" x14ac:dyDescent="0.35">
      <c r="A178" s="6">
        <v>46298</v>
      </c>
      <c r="B178" s="2" t="s">
        <v>45</v>
      </c>
      <c r="C178" s="2" t="s">
        <v>77</v>
      </c>
      <c r="D178" s="2">
        <v>3</v>
      </c>
      <c r="E178" s="7">
        <v>25450</v>
      </c>
      <c r="F178" s="8">
        <v>0.15</v>
      </c>
      <c r="G178" s="9">
        <f t="shared" si="6"/>
        <v>64897.5</v>
      </c>
      <c r="H178" s="4" t="str">
        <f>VLOOKUP(B178,'Store Master'!$A$2:$B$7,2,0)</f>
        <v>Hyderabad</v>
      </c>
      <c r="I178" s="4" t="str">
        <f t="shared" si="7"/>
        <v>No</v>
      </c>
      <c r="J178">
        <f t="shared" si="8"/>
        <v>10</v>
      </c>
    </row>
    <row r="179" spans="1:10" x14ac:dyDescent="0.35">
      <c r="A179" s="6">
        <v>46298</v>
      </c>
      <c r="B179" s="2" t="s">
        <v>53</v>
      </c>
      <c r="C179" s="2" t="s">
        <v>77</v>
      </c>
      <c r="D179" s="2">
        <v>2</v>
      </c>
      <c r="E179" s="7">
        <v>28900</v>
      </c>
      <c r="F179" s="8">
        <v>0.1</v>
      </c>
      <c r="G179" s="9">
        <f t="shared" si="6"/>
        <v>52020</v>
      </c>
      <c r="H179" s="4" t="str">
        <f>VLOOKUP(B179,'Store Master'!$A$2:$B$7,2,0)</f>
        <v>Visakhapatnam</v>
      </c>
      <c r="I179" s="4" t="str">
        <f t="shared" si="7"/>
        <v>No</v>
      </c>
      <c r="J179">
        <f t="shared" si="8"/>
        <v>10</v>
      </c>
    </row>
    <row r="180" spans="1:10" x14ac:dyDescent="0.35">
      <c r="A180" s="6">
        <v>46299</v>
      </c>
      <c r="B180" s="2" t="s">
        <v>60</v>
      </c>
      <c r="C180" s="2" t="s">
        <v>77</v>
      </c>
      <c r="D180" s="2">
        <v>3</v>
      </c>
      <c r="E180" s="7">
        <v>10850</v>
      </c>
      <c r="F180" s="8">
        <v>0</v>
      </c>
      <c r="G180" s="9">
        <f t="shared" si="6"/>
        <v>32550</v>
      </c>
      <c r="H180" s="4" t="str">
        <f>VLOOKUP(B180,'Store Master'!$A$2:$B$7,2,0)</f>
        <v>Chennai</v>
      </c>
      <c r="I180" s="4" t="str">
        <f t="shared" si="7"/>
        <v>No</v>
      </c>
      <c r="J180">
        <f t="shared" si="8"/>
        <v>10</v>
      </c>
    </row>
    <row r="181" spans="1:10" x14ac:dyDescent="0.35">
      <c r="A181" s="6">
        <v>46300</v>
      </c>
      <c r="B181" s="2" t="s">
        <v>56</v>
      </c>
      <c r="C181" s="2" t="s">
        <v>76</v>
      </c>
      <c r="D181" s="2">
        <v>1</v>
      </c>
      <c r="E181" s="7">
        <v>2250</v>
      </c>
      <c r="F181" s="8">
        <v>0</v>
      </c>
      <c r="G181" s="9">
        <f t="shared" si="6"/>
        <v>2250</v>
      </c>
      <c r="H181" s="4" t="str">
        <f>VLOOKUP(B181,'Store Master'!$A$2:$B$7,2,0)</f>
        <v>Bengaluru</v>
      </c>
      <c r="I181" s="4" t="str">
        <f t="shared" si="7"/>
        <v>No</v>
      </c>
      <c r="J181">
        <f t="shared" si="8"/>
        <v>10</v>
      </c>
    </row>
    <row r="182" spans="1:10" x14ac:dyDescent="0.35">
      <c r="A182" s="6">
        <v>46302</v>
      </c>
      <c r="B182" s="2" t="s">
        <v>60</v>
      </c>
      <c r="C182" s="2" t="s">
        <v>74</v>
      </c>
      <c r="D182" s="2">
        <v>1</v>
      </c>
      <c r="E182" s="7">
        <v>1200</v>
      </c>
      <c r="F182" s="8">
        <v>0.1</v>
      </c>
      <c r="G182" s="9">
        <f t="shared" si="6"/>
        <v>1080</v>
      </c>
      <c r="H182" s="4" t="str">
        <f>VLOOKUP(B182,'Store Master'!$A$2:$B$7,2,0)</f>
        <v>Chennai</v>
      </c>
      <c r="I182" s="4" t="str">
        <f t="shared" si="7"/>
        <v>No</v>
      </c>
      <c r="J182">
        <f t="shared" si="8"/>
        <v>10</v>
      </c>
    </row>
    <row r="183" spans="1:10" x14ac:dyDescent="0.35">
      <c r="A183" s="6">
        <v>46303</v>
      </c>
      <c r="B183" s="2" t="s">
        <v>64</v>
      </c>
      <c r="C183" s="2" t="s">
        <v>77</v>
      </c>
      <c r="D183" s="2">
        <v>2</v>
      </c>
      <c r="E183" s="7">
        <v>14350</v>
      </c>
      <c r="F183" s="8">
        <v>0.2</v>
      </c>
      <c r="G183" s="9">
        <f t="shared" si="6"/>
        <v>22960</v>
      </c>
      <c r="H183" s="4" t="str">
        <f>VLOOKUP(B183,'Store Master'!$A$2:$B$7,2,0)</f>
        <v>Warangal</v>
      </c>
      <c r="I183" s="4" t="str">
        <f t="shared" si="7"/>
        <v>No</v>
      </c>
      <c r="J183">
        <f t="shared" si="8"/>
        <v>10</v>
      </c>
    </row>
    <row r="184" spans="1:10" x14ac:dyDescent="0.35">
      <c r="A184" s="6">
        <v>46303</v>
      </c>
      <c r="B184" s="2" t="s">
        <v>53</v>
      </c>
      <c r="C184" s="2" t="s">
        <v>76</v>
      </c>
      <c r="D184" s="2">
        <v>3</v>
      </c>
      <c r="E184" s="7">
        <v>2650</v>
      </c>
      <c r="F184" s="8">
        <v>0.2</v>
      </c>
      <c r="G184" s="9">
        <f t="shared" si="6"/>
        <v>6360</v>
      </c>
      <c r="H184" s="4" t="str">
        <f>VLOOKUP(B184,'Store Master'!$A$2:$B$7,2,0)</f>
        <v>Visakhapatnam</v>
      </c>
      <c r="I184" s="4" t="str">
        <f t="shared" si="7"/>
        <v>No</v>
      </c>
      <c r="J184">
        <f t="shared" si="8"/>
        <v>10</v>
      </c>
    </row>
    <row r="185" spans="1:10" x14ac:dyDescent="0.35">
      <c r="A185" s="6">
        <v>46303</v>
      </c>
      <c r="B185" s="2" t="s">
        <v>49</v>
      </c>
      <c r="C185" s="2" t="s">
        <v>76</v>
      </c>
      <c r="D185" s="2">
        <v>1</v>
      </c>
      <c r="E185" s="7">
        <v>2000</v>
      </c>
      <c r="F185" s="8">
        <v>0.15</v>
      </c>
      <c r="G185" s="9">
        <f t="shared" si="6"/>
        <v>1700</v>
      </c>
      <c r="H185" s="4" t="str">
        <f>VLOOKUP(B185,'Store Master'!$A$2:$B$7,2,0)</f>
        <v>Vijayawada</v>
      </c>
      <c r="I185" s="4" t="str">
        <f t="shared" si="7"/>
        <v>No</v>
      </c>
      <c r="J185">
        <f t="shared" si="8"/>
        <v>10</v>
      </c>
    </row>
    <row r="186" spans="1:10" x14ac:dyDescent="0.35">
      <c r="A186" s="6">
        <v>46303</v>
      </c>
      <c r="B186" s="2" t="s">
        <v>56</v>
      </c>
      <c r="C186" s="2" t="s">
        <v>75</v>
      </c>
      <c r="D186" s="2">
        <v>3</v>
      </c>
      <c r="E186" s="7">
        <v>5050</v>
      </c>
      <c r="F186" s="8">
        <v>0.1</v>
      </c>
      <c r="G186" s="9">
        <f t="shared" si="6"/>
        <v>13635</v>
      </c>
      <c r="H186" s="4" t="str">
        <f>VLOOKUP(B186,'Store Master'!$A$2:$B$7,2,0)</f>
        <v>Bengaluru</v>
      </c>
      <c r="I186" s="4" t="str">
        <f t="shared" si="7"/>
        <v>No</v>
      </c>
      <c r="J186">
        <f t="shared" si="8"/>
        <v>10</v>
      </c>
    </row>
    <row r="187" spans="1:10" x14ac:dyDescent="0.35">
      <c r="A187" s="6">
        <v>46304</v>
      </c>
      <c r="B187" s="2" t="s">
        <v>64</v>
      </c>
      <c r="C187" s="2" t="s">
        <v>74</v>
      </c>
      <c r="D187" s="2">
        <v>3</v>
      </c>
      <c r="E187" s="7">
        <v>3300</v>
      </c>
      <c r="F187" s="8">
        <v>0.3</v>
      </c>
      <c r="G187" s="9">
        <f t="shared" si="6"/>
        <v>6930</v>
      </c>
      <c r="H187" s="4" t="str">
        <f>VLOOKUP(B187,'Store Master'!$A$2:$B$7,2,0)</f>
        <v>Warangal</v>
      </c>
      <c r="I187" s="4" t="str">
        <f t="shared" si="7"/>
        <v>Yes</v>
      </c>
      <c r="J187">
        <f t="shared" si="8"/>
        <v>10</v>
      </c>
    </row>
    <row r="188" spans="1:10" x14ac:dyDescent="0.35">
      <c r="A188" s="6">
        <v>46304</v>
      </c>
      <c r="B188" s="2" t="s">
        <v>45</v>
      </c>
      <c r="C188" s="2" t="s">
        <v>74</v>
      </c>
      <c r="D188" s="2">
        <v>3</v>
      </c>
      <c r="E188" s="7">
        <v>1700</v>
      </c>
      <c r="F188" s="8">
        <v>0</v>
      </c>
      <c r="G188" s="9">
        <f t="shared" si="6"/>
        <v>5100</v>
      </c>
      <c r="H188" s="4" t="str">
        <f>VLOOKUP(B188,'Store Master'!$A$2:$B$7,2,0)</f>
        <v>Hyderabad</v>
      </c>
      <c r="I188" s="4" t="str">
        <f t="shared" si="7"/>
        <v>No</v>
      </c>
      <c r="J188">
        <f t="shared" si="8"/>
        <v>10</v>
      </c>
    </row>
    <row r="189" spans="1:10" x14ac:dyDescent="0.35">
      <c r="A189" s="6">
        <v>46305</v>
      </c>
      <c r="B189" s="2" t="s">
        <v>45</v>
      </c>
      <c r="C189" s="2" t="s">
        <v>78</v>
      </c>
      <c r="D189" s="2">
        <v>3</v>
      </c>
      <c r="E189" s="7">
        <v>15650</v>
      </c>
      <c r="F189" s="8">
        <v>0.1</v>
      </c>
      <c r="G189" s="9">
        <f t="shared" si="6"/>
        <v>42255</v>
      </c>
      <c r="H189" s="4" t="str">
        <f>VLOOKUP(B189,'Store Master'!$A$2:$B$7,2,0)</f>
        <v>Hyderabad</v>
      </c>
      <c r="I189" s="4" t="str">
        <f t="shared" si="7"/>
        <v>No</v>
      </c>
      <c r="J189">
        <f t="shared" si="8"/>
        <v>10</v>
      </c>
    </row>
    <row r="190" spans="1:10" x14ac:dyDescent="0.35">
      <c r="A190" s="6">
        <v>46305</v>
      </c>
      <c r="B190" s="2" t="s">
        <v>49</v>
      </c>
      <c r="C190" s="2" t="s">
        <v>74</v>
      </c>
      <c r="D190" s="2">
        <v>3</v>
      </c>
      <c r="E190" s="7">
        <v>2950</v>
      </c>
      <c r="F190" s="8">
        <v>0.2</v>
      </c>
      <c r="G190" s="9">
        <f t="shared" si="6"/>
        <v>7080</v>
      </c>
      <c r="H190" s="4" t="str">
        <f>VLOOKUP(B190,'Store Master'!$A$2:$B$7,2,0)</f>
        <v>Vijayawada</v>
      </c>
      <c r="I190" s="4" t="str">
        <f t="shared" si="7"/>
        <v>No</v>
      </c>
      <c r="J190">
        <f t="shared" si="8"/>
        <v>10</v>
      </c>
    </row>
    <row r="191" spans="1:10" x14ac:dyDescent="0.35">
      <c r="A191" s="6">
        <v>46305</v>
      </c>
      <c r="B191" s="2" t="s">
        <v>64</v>
      </c>
      <c r="C191" s="2" t="s">
        <v>75</v>
      </c>
      <c r="D191" s="2">
        <v>1</v>
      </c>
      <c r="E191" s="7">
        <v>1600</v>
      </c>
      <c r="F191" s="8">
        <v>0</v>
      </c>
      <c r="G191" s="9">
        <f t="shared" si="6"/>
        <v>1600</v>
      </c>
      <c r="H191" s="4" t="str">
        <f>VLOOKUP(B191,'Store Master'!$A$2:$B$7,2,0)</f>
        <v>Warangal</v>
      </c>
      <c r="I191" s="4" t="str">
        <f t="shared" si="7"/>
        <v>No</v>
      </c>
      <c r="J191">
        <f t="shared" si="8"/>
        <v>10</v>
      </c>
    </row>
    <row r="192" spans="1:10" x14ac:dyDescent="0.35">
      <c r="A192" s="6">
        <v>46305</v>
      </c>
      <c r="B192" s="2" t="s">
        <v>60</v>
      </c>
      <c r="C192" s="2" t="s">
        <v>75</v>
      </c>
      <c r="D192" s="2">
        <v>2</v>
      </c>
      <c r="E192" s="7">
        <v>5250</v>
      </c>
      <c r="F192" s="8">
        <v>0.1</v>
      </c>
      <c r="G192" s="9">
        <f t="shared" si="6"/>
        <v>9450</v>
      </c>
      <c r="H192" s="4" t="str">
        <f>VLOOKUP(B192,'Store Master'!$A$2:$B$7,2,0)</f>
        <v>Chennai</v>
      </c>
      <c r="I192" s="4" t="str">
        <f t="shared" si="7"/>
        <v>No</v>
      </c>
      <c r="J192">
        <f t="shared" si="8"/>
        <v>10</v>
      </c>
    </row>
    <row r="193" spans="1:10" x14ac:dyDescent="0.35">
      <c r="A193" s="6">
        <v>46306</v>
      </c>
      <c r="B193" s="2" t="s">
        <v>45</v>
      </c>
      <c r="C193" s="2" t="s">
        <v>76</v>
      </c>
      <c r="D193" s="2">
        <v>1</v>
      </c>
      <c r="E193" s="7">
        <v>1700</v>
      </c>
      <c r="F193" s="8">
        <v>0.1</v>
      </c>
      <c r="G193" s="9">
        <f t="shared" si="6"/>
        <v>1530</v>
      </c>
      <c r="H193" s="4" t="str">
        <f>VLOOKUP(B193,'Store Master'!$A$2:$B$7,2,0)</f>
        <v>Hyderabad</v>
      </c>
      <c r="I193" s="4" t="str">
        <f t="shared" si="7"/>
        <v>No</v>
      </c>
      <c r="J193">
        <f t="shared" si="8"/>
        <v>10</v>
      </c>
    </row>
    <row r="194" spans="1:10" x14ac:dyDescent="0.35">
      <c r="A194" s="6">
        <v>46307</v>
      </c>
      <c r="B194" s="2" t="s">
        <v>64</v>
      </c>
      <c r="C194" s="2" t="s">
        <v>78</v>
      </c>
      <c r="D194" s="2">
        <v>3</v>
      </c>
      <c r="E194" s="7">
        <v>5900</v>
      </c>
      <c r="F194" s="8">
        <v>0.2</v>
      </c>
      <c r="G194" s="9">
        <f t="shared" si="6"/>
        <v>14160</v>
      </c>
      <c r="H194" s="4" t="str">
        <f>VLOOKUP(B194,'Store Master'!$A$2:$B$7,2,0)</f>
        <v>Warangal</v>
      </c>
      <c r="I194" s="4" t="str">
        <f t="shared" si="7"/>
        <v>No</v>
      </c>
      <c r="J194">
        <f t="shared" si="8"/>
        <v>10</v>
      </c>
    </row>
    <row r="195" spans="1:10" x14ac:dyDescent="0.35">
      <c r="A195" s="6">
        <v>46307</v>
      </c>
      <c r="B195" s="2" t="s">
        <v>60</v>
      </c>
      <c r="C195" s="2" t="s">
        <v>78</v>
      </c>
      <c r="D195" s="2">
        <v>3</v>
      </c>
      <c r="E195" s="7">
        <v>14500</v>
      </c>
      <c r="F195" s="8">
        <v>0</v>
      </c>
      <c r="G195" s="9">
        <f t="shared" ref="G195:G201" si="9">D195*E195*(1-F195)</f>
        <v>43500</v>
      </c>
      <c r="H195" s="4" t="str">
        <f>VLOOKUP(B195,'Store Master'!$A$2:$B$7,2,0)</f>
        <v>Chennai</v>
      </c>
      <c r="I195" s="4" t="str">
        <f t="shared" ref="I195:I201" si="10">IF(F195&gt;20%,"Yes","No")</f>
        <v>No</v>
      </c>
      <c r="J195">
        <f t="shared" ref="J195:J201" si="11">MONTH(A195)</f>
        <v>10</v>
      </c>
    </row>
    <row r="196" spans="1:10" x14ac:dyDescent="0.35">
      <c r="A196" s="6">
        <v>46307</v>
      </c>
      <c r="B196" s="2" t="s">
        <v>64</v>
      </c>
      <c r="C196" s="2" t="s">
        <v>77</v>
      </c>
      <c r="D196" s="2">
        <v>1</v>
      </c>
      <c r="E196" s="7">
        <v>14550</v>
      </c>
      <c r="F196" s="8">
        <v>0</v>
      </c>
      <c r="G196" s="9">
        <f t="shared" si="9"/>
        <v>14550</v>
      </c>
      <c r="H196" s="4" t="str">
        <f>VLOOKUP(B196,'Store Master'!$A$2:$B$7,2,0)</f>
        <v>Warangal</v>
      </c>
      <c r="I196" s="4" t="str">
        <f t="shared" si="10"/>
        <v>No</v>
      </c>
      <c r="J196">
        <f t="shared" si="11"/>
        <v>10</v>
      </c>
    </row>
    <row r="197" spans="1:10" x14ac:dyDescent="0.35">
      <c r="A197" s="6">
        <v>46308</v>
      </c>
      <c r="B197" s="2" t="s">
        <v>49</v>
      </c>
      <c r="C197" s="2" t="s">
        <v>78</v>
      </c>
      <c r="D197" s="2">
        <v>3</v>
      </c>
      <c r="E197" s="7">
        <v>5250</v>
      </c>
      <c r="F197" s="8">
        <v>0.1</v>
      </c>
      <c r="G197" s="9">
        <f t="shared" si="9"/>
        <v>14175</v>
      </c>
      <c r="H197" s="4" t="str">
        <f>VLOOKUP(B197,'Store Master'!$A$2:$B$7,2,0)</f>
        <v>Vijayawada</v>
      </c>
      <c r="I197" s="4" t="str">
        <f t="shared" si="10"/>
        <v>No</v>
      </c>
      <c r="J197">
        <f t="shared" si="11"/>
        <v>10</v>
      </c>
    </row>
    <row r="198" spans="1:10" x14ac:dyDescent="0.35">
      <c r="A198" s="6">
        <v>46308</v>
      </c>
      <c r="B198" s="2" t="s">
        <v>60</v>
      </c>
      <c r="C198" s="2" t="s">
        <v>75</v>
      </c>
      <c r="D198" s="2">
        <v>2</v>
      </c>
      <c r="E198" s="7">
        <v>3500</v>
      </c>
      <c r="F198" s="8">
        <v>0.2</v>
      </c>
      <c r="G198" s="9">
        <f t="shared" si="9"/>
        <v>5600</v>
      </c>
      <c r="H198" s="4" t="str">
        <f>VLOOKUP(B198,'Store Master'!$A$2:$B$7,2,0)</f>
        <v>Chennai</v>
      </c>
      <c r="I198" s="4" t="str">
        <f t="shared" si="10"/>
        <v>No</v>
      </c>
      <c r="J198">
        <f t="shared" si="11"/>
        <v>10</v>
      </c>
    </row>
    <row r="199" spans="1:10" x14ac:dyDescent="0.35">
      <c r="A199" s="6">
        <v>46308</v>
      </c>
      <c r="B199" s="2" t="s">
        <v>56</v>
      </c>
      <c r="C199" s="2" t="s">
        <v>75</v>
      </c>
      <c r="D199" s="2">
        <v>2</v>
      </c>
      <c r="E199" s="7">
        <v>1550</v>
      </c>
      <c r="F199" s="8">
        <v>0.1</v>
      </c>
      <c r="G199" s="9">
        <f t="shared" si="9"/>
        <v>2790</v>
      </c>
      <c r="H199" s="4" t="str">
        <f>VLOOKUP(B199,'Store Master'!$A$2:$B$7,2,0)</f>
        <v>Bengaluru</v>
      </c>
      <c r="I199" s="4" t="str">
        <f t="shared" si="10"/>
        <v>No</v>
      </c>
      <c r="J199">
        <f t="shared" si="11"/>
        <v>10</v>
      </c>
    </row>
    <row r="200" spans="1:10" x14ac:dyDescent="0.35">
      <c r="A200" s="6">
        <v>46308</v>
      </c>
      <c r="B200" s="2" t="s">
        <v>64</v>
      </c>
      <c r="C200" s="2" t="s">
        <v>75</v>
      </c>
      <c r="D200" s="2">
        <v>3</v>
      </c>
      <c r="E200" s="7">
        <v>4750</v>
      </c>
      <c r="F200" s="8">
        <v>0.1</v>
      </c>
      <c r="G200" s="9">
        <f t="shared" si="9"/>
        <v>12825</v>
      </c>
      <c r="H200" s="4" t="str">
        <f>VLOOKUP(B200,'Store Master'!$A$2:$B$7,2,0)</f>
        <v>Warangal</v>
      </c>
      <c r="I200" s="4" t="str">
        <f t="shared" si="10"/>
        <v>No</v>
      </c>
      <c r="J200">
        <f t="shared" si="11"/>
        <v>10</v>
      </c>
    </row>
    <row r="201" spans="1:10" x14ac:dyDescent="0.35">
      <c r="A201" s="6">
        <v>46308</v>
      </c>
      <c r="B201" s="2" t="s">
        <v>45</v>
      </c>
      <c r="C201" s="2" t="s">
        <v>77</v>
      </c>
      <c r="D201" s="2">
        <v>3</v>
      </c>
      <c r="E201" s="7">
        <v>24400</v>
      </c>
      <c r="F201" s="8">
        <v>0.25</v>
      </c>
      <c r="G201" s="9">
        <f t="shared" si="9"/>
        <v>54900</v>
      </c>
      <c r="H201" s="4" t="str">
        <f>VLOOKUP(B201,'Store Master'!$A$2:$B$7,2,0)</f>
        <v>Hyderabad</v>
      </c>
      <c r="I201" s="4" t="str">
        <f t="shared" si="10"/>
        <v>Yes</v>
      </c>
      <c r="J201">
        <f t="shared" si="11"/>
        <v>10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1"/>
  <sheetViews>
    <sheetView zoomScaleNormal="100" workbookViewId="0">
      <pane ySplit="1" topLeftCell="A42" activePane="bottomLeft" state="frozen"/>
      <selection pane="bottomLeft" activeCell="H2" sqref="H2"/>
    </sheetView>
  </sheetViews>
  <sheetFormatPr defaultColWidth="8.6328125" defaultRowHeight="14.5" x14ac:dyDescent="0.35"/>
  <cols>
    <col min="1" max="1" width="14" customWidth="1"/>
    <col min="2" max="2" width="20" customWidth="1"/>
    <col min="3" max="3" width="16" customWidth="1"/>
    <col min="4" max="4" width="8" customWidth="1"/>
    <col min="5" max="6" width="12" customWidth="1"/>
    <col min="7" max="7" width="16" customWidth="1"/>
  </cols>
  <sheetData>
    <row r="1" spans="1:7" x14ac:dyDescent="0.35">
      <c r="A1" s="1" t="s">
        <v>67</v>
      </c>
      <c r="B1" s="1" t="s">
        <v>79</v>
      </c>
      <c r="C1" s="1" t="s">
        <v>68</v>
      </c>
      <c r="D1" s="1" t="s">
        <v>69</v>
      </c>
      <c r="E1" s="1" t="s">
        <v>80</v>
      </c>
      <c r="F1" s="1" t="s">
        <v>81</v>
      </c>
      <c r="G1" s="5" t="s">
        <v>82</v>
      </c>
    </row>
    <row r="2" spans="1:7" x14ac:dyDescent="0.35">
      <c r="A2" s="6">
        <v>46235</v>
      </c>
      <c r="B2" s="2" t="s">
        <v>83</v>
      </c>
      <c r="C2" s="2" t="s">
        <v>77</v>
      </c>
      <c r="D2" s="2">
        <v>59</v>
      </c>
      <c r="E2" s="7">
        <v>9900</v>
      </c>
      <c r="F2" s="2" t="s">
        <v>84</v>
      </c>
      <c r="G2" s="9">
        <f>D2*E2</f>
        <v>584100</v>
      </c>
    </row>
    <row r="3" spans="1:7" x14ac:dyDescent="0.35">
      <c r="A3" s="6">
        <v>46238</v>
      </c>
      <c r="B3" s="2" t="s">
        <v>85</v>
      </c>
      <c r="C3" s="2" t="s">
        <v>77</v>
      </c>
      <c r="D3" s="2">
        <v>60</v>
      </c>
      <c r="E3" s="7">
        <v>5200</v>
      </c>
      <c r="F3" s="2" t="s">
        <v>84</v>
      </c>
      <c r="G3" s="9">
        <f t="shared" ref="G3:G61" si="0">D3*E3</f>
        <v>312000</v>
      </c>
    </row>
    <row r="4" spans="1:7" x14ac:dyDescent="0.35">
      <c r="A4" s="6">
        <v>46239</v>
      </c>
      <c r="B4" s="2" t="s">
        <v>86</v>
      </c>
      <c r="C4" s="2" t="s">
        <v>74</v>
      </c>
      <c r="D4" s="2">
        <v>38</v>
      </c>
      <c r="E4" s="7">
        <v>900</v>
      </c>
      <c r="F4" s="2" t="s">
        <v>84</v>
      </c>
      <c r="G4" s="9">
        <f t="shared" si="0"/>
        <v>34200</v>
      </c>
    </row>
    <row r="5" spans="1:7" x14ac:dyDescent="0.35">
      <c r="A5" s="6">
        <v>46240</v>
      </c>
      <c r="B5" s="2" t="s">
        <v>86</v>
      </c>
      <c r="C5" s="2" t="s">
        <v>78</v>
      </c>
      <c r="D5" s="2">
        <v>17</v>
      </c>
      <c r="E5" s="7">
        <v>7450</v>
      </c>
      <c r="F5" s="2" t="s">
        <v>84</v>
      </c>
      <c r="G5" s="9">
        <f t="shared" si="0"/>
        <v>126650</v>
      </c>
    </row>
    <row r="6" spans="1:7" x14ac:dyDescent="0.35">
      <c r="A6" s="6">
        <v>46241</v>
      </c>
      <c r="B6" s="2" t="s">
        <v>83</v>
      </c>
      <c r="C6" s="2" t="s">
        <v>74</v>
      </c>
      <c r="D6" s="2">
        <v>60</v>
      </c>
      <c r="E6" s="7">
        <v>950</v>
      </c>
      <c r="F6" s="2" t="s">
        <v>84</v>
      </c>
      <c r="G6" s="9">
        <f t="shared" si="0"/>
        <v>57000</v>
      </c>
    </row>
    <row r="7" spans="1:7" x14ac:dyDescent="0.35">
      <c r="A7" s="6">
        <v>46241</v>
      </c>
      <c r="B7" s="2" t="s">
        <v>87</v>
      </c>
      <c r="C7" s="2" t="s">
        <v>77</v>
      </c>
      <c r="D7" s="2">
        <v>13</v>
      </c>
      <c r="E7" s="7">
        <v>7550</v>
      </c>
      <c r="F7" s="2" t="s">
        <v>84</v>
      </c>
      <c r="G7" s="9">
        <f t="shared" si="0"/>
        <v>98150</v>
      </c>
    </row>
    <row r="8" spans="1:7" x14ac:dyDescent="0.35">
      <c r="A8" s="6">
        <v>46242</v>
      </c>
      <c r="B8" s="2" t="s">
        <v>83</v>
      </c>
      <c r="C8" s="2" t="s">
        <v>75</v>
      </c>
      <c r="D8" s="2">
        <v>17</v>
      </c>
      <c r="E8" s="7">
        <v>1950</v>
      </c>
      <c r="F8" s="2" t="s">
        <v>88</v>
      </c>
      <c r="G8" s="9">
        <f t="shared" si="0"/>
        <v>33150</v>
      </c>
    </row>
    <row r="9" spans="1:7" x14ac:dyDescent="0.35">
      <c r="A9" s="6">
        <v>46243</v>
      </c>
      <c r="B9" s="2" t="s">
        <v>87</v>
      </c>
      <c r="C9" s="2" t="s">
        <v>76</v>
      </c>
      <c r="D9" s="2">
        <v>23</v>
      </c>
      <c r="E9" s="7">
        <v>900</v>
      </c>
      <c r="F9" s="2" t="s">
        <v>84</v>
      </c>
      <c r="G9" s="9">
        <f t="shared" si="0"/>
        <v>20700</v>
      </c>
    </row>
    <row r="10" spans="1:7" x14ac:dyDescent="0.35">
      <c r="A10" s="6">
        <v>46243</v>
      </c>
      <c r="B10" s="2" t="s">
        <v>89</v>
      </c>
      <c r="C10" s="2" t="s">
        <v>77</v>
      </c>
      <c r="D10" s="2">
        <v>11</v>
      </c>
      <c r="E10" s="7">
        <v>17100</v>
      </c>
      <c r="F10" s="2" t="s">
        <v>84</v>
      </c>
      <c r="G10" s="9">
        <f t="shared" si="0"/>
        <v>188100</v>
      </c>
    </row>
    <row r="11" spans="1:7" x14ac:dyDescent="0.35">
      <c r="A11" s="6">
        <v>46244</v>
      </c>
      <c r="B11" s="2" t="s">
        <v>83</v>
      </c>
      <c r="C11" s="2" t="s">
        <v>77</v>
      </c>
      <c r="D11" s="2">
        <v>53</v>
      </c>
      <c r="E11" s="7">
        <v>17300</v>
      </c>
      <c r="F11" s="2" t="s">
        <v>88</v>
      </c>
      <c r="G11" s="9">
        <f t="shared" si="0"/>
        <v>916900</v>
      </c>
    </row>
    <row r="12" spans="1:7" x14ac:dyDescent="0.35">
      <c r="A12" s="6">
        <v>46246</v>
      </c>
      <c r="B12" s="2" t="s">
        <v>89</v>
      </c>
      <c r="C12" s="2" t="s">
        <v>77</v>
      </c>
      <c r="D12" s="2">
        <v>48</v>
      </c>
      <c r="E12" s="7">
        <v>15450</v>
      </c>
      <c r="F12" s="2" t="s">
        <v>84</v>
      </c>
      <c r="G12" s="9">
        <f t="shared" si="0"/>
        <v>741600</v>
      </c>
    </row>
    <row r="13" spans="1:7" x14ac:dyDescent="0.35">
      <c r="A13" s="6">
        <v>46247</v>
      </c>
      <c r="B13" s="2" t="s">
        <v>86</v>
      </c>
      <c r="C13" s="2" t="s">
        <v>78</v>
      </c>
      <c r="D13" s="2">
        <v>38</v>
      </c>
      <c r="E13" s="7">
        <v>6000</v>
      </c>
      <c r="F13" s="2" t="s">
        <v>84</v>
      </c>
      <c r="G13" s="9">
        <f t="shared" si="0"/>
        <v>228000</v>
      </c>
    </row>
    <row r="14" spans="1:7" x14ac:dyDescent="0.35">
      <c r="A14" s="6">
        <v>46248</v>
      </c>
      <c r="B14" s="2" t="s">
        <v>90</v>
      </c>
      <c r="C14" s="2" t="s">
        <v>75</v>
      </c>
      <c r="D14" s="2">
        <v>15</v>
      </c>
      <c r="E14" s="7">
        <v>2650</v>
      </c>
      <c r="F14" s="2" t="s">
        <v>84</v>
      </c>
      <c r="G14" s="9">
        <f t="shared" si="0"/>
        <v>39750</v>
      </c>
    </row>
    <row r="15" spans="1:7" x14ac:dyDescent="0.35">
      <c r="A15" s="6">
        <v>46253</v>
      </c>
      <c r="B15" s="2" t="s">
        <v>85</v>
      </c>
      <c r="C15" s="2" t="s">
        <v>77</v>
      </c>
      <c r="D15" s="2">
        <v>21</v>
      </c>
      <c r="E15" s="7">
        <v>13800</v>
      </c>
      <c r="F15" s="2" t="s">
        <v>84</v>
      </c>
      <c r="G15" s="9">
        <f t="shared" si="0"/>
        <v>289800</v>
      </c>
    </row>
    <row r="16" spans="1:7" x14ac:dyDescent="0.35">
      <c r="A16" s="6">
        <v>46253</v>
      </c>
      <c r="B16" s="2" t="s">
        <v>85</v>
      </c>
      <c r="C16" s="2" t="s">
        <v>78</v>
      </c>
      <c r="D16" s="2">
        <v>49</v>
      </c>
      <c r="E16" s="7">
        <v>4550</v>
      </c>
      <c r="F16" s="2" t="s">
        <v>84</v>
      </c>
      <c r="G16" s="9">
        <f t="shared" si="0"/>
        <v>222950</v>
      </c>
    </row>
    <row r="17" spans="1:7" x14ac:dyDescent="0.35">
      <c r="A17" s="6">
        <v>46254</v>
      </c>
      <c r="B17" s="2" t="s">
        <v>90</v>
      </c>
      <c r="C17" s="2" t="s">
        <v>75</v>
      </c>
      <c r="D17" s="2">
        <v>15</v>
      </c>
      <c r="E17" s="7">
        <v>1100</v>
      </c>
      <c r="F17" s="2" t="s">
        <v>84</v>
      </c>
      <c r="G17" s="9">
        <f t="shared" si="0"/>
        <v>16500</v>
      </c>
    </row>
    <row r="18" spans="1:7" x14ac:dyDescent="0.35">
      <c r="A18" s="6">
        <v>46255</v>
      </c>
      <c r="B18" s="2" t="s">
        <v>89</v>
      </c>
      <c r="C18" s="2" t="s">
        <v>74</v>
      </c>
      <c r="D18" s="2">
        <v>30</v>
      </c>
      <c r="E18" s="7">
        <v>1100</v>
      </c>
      <c r="F18" s="2" t="s">
        <v>84</v>
      </c>
      <c r="G18" s="9">
        <f t="shared" si="0"/>
        <v>33000</v>
      </c>
    </row>
    <row r="19" spans="1:7" x14ac:dyDescent="0.35">
      <c r="A19" s="6">
        <v>46263</v>
      </c>
      <c r="B19" s="2" t="s">
        <v>87</v>
      </c>
      <c r="C19" s="2" t="s">
        <v>78</v>
      </c>
      <c r="D19" s="2">
        <v>33</v>
      </c>
      <c r="E19" s="7">
        <v>8200</v>
      </c>
      <c r="F19" s="2" t="s">
        <v>84</v>
      </c>
      <c r="G19" s="9">
        <f t="shared" si="0"/>
        <v>270600</v>
      </c>
    </row>
    <row r="20" spans="1:7" x14ac:dyDescent="0.35">
      <c r="A20" s="6">
        <v>46265</v>
      </c>
      <c r="B20" s="2" t="s">
        <v>86</v>
      </c>
      <c r="C20" s="2" t="s">
        <v>76</v>
      </c>
      <c r="D20" s="2">
        <v>39</v>
      </c>
      <c r="E20" s="7">
        <v>750</v>
      </c>
      <c r="F20" s="2" t="s">
        <v>84</v>
      </c>
      <c r="G20" s="9">
        <f t="shared" si="0"/>
        <v>29250</v>
      </c>
    </row>
    <row r="21" spans="1:7" x14ac:dyDescent="0.35">
      <c r="A21" s="6">
        <v>46267</v>
      </c>
      <c r="B21" s="2" t="s">
        <v>90</v>
      </c>
      <c r="C21" s="2" t="s">
        <v>74</v>
      </c>
      <c r="D21" s="2">
        <v>10</v>
      </c>
      <c r="E21" s="7">
        <v>1100</v>
      </c>
      <c r="F21" s="2" t="s">
        <v>88</v>
      </c>
      <c r="G21" s="9">
        <f t="shared" si="0"/>
        <v>11000</v>
      </c>
    </row>
    <row r="22" spans="1:7" x14ac:dyDescent="0.35">
      <c r="A22" s="6">
        <v>46269</v>
      </c>
      <c r="B22" s="2" t="s">
        <v>85</v>
      </c>
      <c r="C22" s="2" t="s">
        <v>78</v>
      </c>
      <c r="D22" s="2">
        <v>54</v>
      </c>
      <c r="E22" s="7">
        <v>5450</v>
      </c>
      <c r="F22" s="2" t="s">
        <v>84</v>
      </c>
      <c r="G22" s="9">
        <f t="shared" si="0"/>
        <v>294300</v>
      </c>
    </row>
    <row r="23" spans="1:7" x14ac:dyDescent="0.35">
      <c r="A23" s="6">
        <v>46269</v>
      </c>
      <c r="B23" s="2" t="s">
        <v>86</v>
      </c>
      <c r="C23" s="2" t="s">
        <v>75</v>
      </c>
      <c r="D23" s="2">
        <v>41</v>
      </c>
      <c r="E23" s="7">
        <v>3550</v>
      </c>
      <c r="F23" s="2" t="s">
        <v>88</v>
      </c>
      <c r="G23" s="9">
        <f t="shared" si="0"/>
        <v>145550</v>
      </c>
    </row>
    <row r="24" spans="1:7" x14ac:dyDescent="0.35">
      <c r="A24" s="6">
        <v>46270</v>
      </c>
      <c r="B24" s="2" t="s">
        <v>86</v>
      </c>
      <c r="C24" s="2" t="s">
        <v>76</v>
      </c>
      <c r="D24" s="2">
        <v>45</v>
      </c>
      <c r="E24" s="7">
        <v>950</v>
      </c>
      <c r="F24" s="2" t="s">
        <v>84</v>
      </c>
      <c r="G24" s="9">
        <f t="shared" si="0"/>
        <v>42750</v>
      </c>
    </row>
    <row r="25" spans="1:7" x14ac:dyDescent="0.35">
      <c r="A25" s="6">
        <v>46272</v>
      </c>
      <c r="B25" s="2" t="s">
        <v>90</v>
      </c>
      <c r="C25" s="2" t="s">
        <v>78</v>
      </c>
      <c r="D25" s="2">
        <v>30</v>
      </c>
      <c r="E25" s="7">
        <v>9100</v>
      </c>
      <c r="F25" s="2" t="s">
        <v>84</v>
      </c>
      <c r="G25" s="9">
        <f t="shared" si="0"/>
        <v>273000</v>
      </c>
    </row>
    <row r="26" spans="1:7" x14ac:dyDescent="0.35">
      <c r="A26" s="6">
        <v>46275</v>
      </c>
      <c r="B26" s="2" t="s">
        <v>89</v>
      </c>
      <c r="C26" s="2" t="s">
        <v>75</v>
      </c>
      <c r="D26" s="2">
        <v>26</v>
      </c>
      <c r="E26" s="7">
        <v>2100</v>
      </c>
      <c r="F26" s="2" t="s">
        <v>84</v>
      </c>
      <c r="G26" s="9">
        <f t="shared" si="0"/>
        <v>54600</v>
      </c>
    </row>
    <row r="27" spans="1:7" x14ac:dyDescent="0.35">
      <c r="A27" s="6">
        <v>46275</v>
      </c>
      <c r="B27" s="2" t="s">
        <v>87</v>
      </c>
      <c r="C27" s="2" t="s">
        <v>76</v>
      </c>
      <c r="D27" s="2">
        <v>35</v>
      </c>
      <c r="E27" s="7">
        <v>1350</v>
      </c>
      <c r="F27" s="2" t="s">
        <v>88</v>
      </c>
      <c r="G27" s="9">
        <f t="shared" si="0"/>
        <v>47250</v>
      </c>
    </row>
    <row r="28" spans="1:7" x14ac:dyDescent="0.35">
      <c r="A28" s="6">
        <v>46276</v>
      </c>
      <c r="B28" s="2" t="s">
        <v>83</v>
      </c>
      <c r="C28" s="2" t="s">
        <v>75</v>
      </c>
      <c r="D28" s="2">
        <v>18</v>
      </c>
      <c r="E28" s="7">
        <v>1550</v>
      </c>
      <c r="F28" s="2" t="s">
        <v>84</v>
      </c>
      <c r="G28" s="9">
        <f t="shared" si="0"/>
        <v>27900</v>
      </c>
    </row>
    <row r="29" spans="1:7" x14ac:dyDescent="0.35">
      <c r="A29" s="6">
        <v>46276</v>
      </c>
      <c r="B29" s="2" t="s">
        <v>85</v>
      </c>
      <c r="C29" s="2" t="s">
        <v>78</v>
      </c>
      <c r="D29" s="2">
        <v>13</v>
      </c>
      <c r="E29" s="7">
        <v>5350</v>
      </c>
      <c r="F29" s="2" t="s">
        <v>84</v>
      </c>
      <c r="G29" s="9">
        <f t="shared" si="0"/>
        <v>69550</v>
      </c>
    </row>
    <row r="30" spans="1:7" x14ac:dyDescent="0.35">
      <c r="A30" s="6">
        <v>46277</v>
      </c>
      <c r="B30" s="2" t="s">
        <v>87</v>
      </c>
      <c r="C30" s="2" t="s">
        <v>77</v>
      </c>
      <c r="D30" s="2">
        <v>10</v>
      </c>
      <c r="E30" s="7">
        <v>17850</v>
      </c>
      <c r="F30" s="2" t="s">
        <v>84</v>
      </c>
      <c r="G30" s="9">
        <f t="shared" si="0"/>
        <v>178500</v>
      </c>
    </row>
    <row r="31" spans="1:7" x14ac:dyDescent="0.35">
      <c r="A31" s="6">
        <v>46278</v>
      </c>
      <c r="B31" s="2" t="s">
        <v>83</v>
      </c>
      <c r="C31" s="2" t="s">
        <v>74</v>
      </c>
      <c r="D31" s="2">
        <v>19</v>
      </c>
      <c r="E31" s="7">
        <v>450</v>
      </c>
      <c r="F31" s="2" t="s">
        <v>88</v>
      </c>
      <c r="G31" s="9">
        <f t="shared" si="0"/>
        <v>8550</v>
      </c>
    </row>
    <row r="32" spans="1:7" x14ac:dyDescent="0.35">
      <c r="A32" s="6">
        <v>46280</v>
      </c>
      <c r="B32" s="2" t="s">
        <v>85</v>
      </c>
      <c r="C32" s="2" t="s">
        <v>75</v>
      </c>
      <c r="D32" s="2">
        <v>48</v>
      </c>
      <c r="E32" s="7">
        <v>1050</v>
      </c>
      <c r="F32" s="2" t="s">
        <v>84</v>
      </c>
      <c r="G32" s="9">
        <f t="shared" si="0"/>
        <v>50400</v>
      </c>
    </row>
    <row r="33" spans="1:7" x14ac:dyDescent="0.35">
      <c r="A33" s="6">
        <v>46280</v>
      </c>
      <c r="B33" s="2" t="s">
        <v>83</v>
      </c>
      <c r="C33" s="2" t="s">
        <v>78</v>
      </c>
      <c r="D33" s="2">
        <v>19</v>
      </c>
      <c r="E33" s="7">
        <v>10800</v>
      </c>
      <c r="F33" s="2" t="s">
        <v>88</v>
      </c>
      <c r="G33" s="9">
        <f t="shared" si="0"/>
        <v>205200</v>
      </c>
    </row>
    <row r="34" spans="1:7" x14ac:dyDescent="0.35">
      <c r="A34" s="6">
        <v>46281</v>
      </c>
      <c r="B34" s="2" t="s">
        <v>87</v>
      </c>
      <c r="C34" s="2" t="s">
        <v>78</v>
      </c>
      <c r="D34" s="2">
        <v>51</v>
      </c>
      <c r="E34" s="7">
        <v>8500</v>
      </c>
      <c r="F34" s="2" t="s">
        <v>84</v>
      </c>
      <c r="G34" s="9">
        <f t="shared" si="0"/>
        <v>433500</v>
      </c>
    </row>
    <row r="35" spans="1:7" x14ac:dyDescent="0.35">
      <c r="A35" s="6">
        <v>46283</v>
      </c>
      <c r="B35" s="2" t="s">
        <v>85</v>
      </c>
      <c r="C35" s="2" t="s">
        <v>76</v>
      </c>
      <c r="D35" s="2">
        <v>39</v>
      </c>
      <c r="E35" s="7">
        <v>1600</v>
      </c>
      <c r="F35" s="2" t="s">
        <v>88</v>
      </c>
      <c r="G35" s="9">
        <f t="shared" si="0"/>
        <v>62400</v>
      </c>
    </row>
    <row r="36" spans="1:7" x14ac:dyDescent="0.35">
      <c r="A36" s="6">
        <v>46285</v>
      </c>
      <c r="B36" s="2" t="s">
        <v>90</v>
      </c>
      <c r="C36" s="2" t="s">
        <v>78</v>
      </c>
      <c r="D36" s="2">
        <v>39</v>
      </c>
      <c r="E36" s="7">
        <v>9600</v>
      </c>
      <c r="F36" s="2" t="s">
        <v>84</v>
      </c>
      <c r="G36" s="9">
        <f t="shared" si="0"/>
        <v>374400</v>
      </c>
    </row>
    <row r="37" spans="1:7" x14ac:dyDescent="0.35">
      <c r="A37" s="6">
        <v>46287</v>
      </c>
      <c r="B37" s="2" t="s">
        <v>86</v>
      </c>
      <c r="C37" s="2" t="s">
        <v>74</v>
      </c>
      <c r="D37" s="2">
        <v>36</v>
      </c>
      <c r="E37" s="7">
        <v>1350</v>
      </c>
      <c r="F37" s="2" t="s">
        <v>84</v>
      </c>
      <c r="G37" s="9">
        <f t="shared" si="0"/>
        <v>48600</v>
      </c>
    </row>
    <row r="38" spans="1:7" x14ac:dyDescent="0.35">
      <c r="A38" s="6">
        <v>46288</v>
      </c>
      <c r="B38" s="2" t="s">
        <v>87</v>
      </c>
      <c r="C38" s="2" t="s">
        <v>78</v>
      </c>
      <c r="D38" s="2">
        <v>36</v>
      </c>
      <c r="E38" s="7">
        <v>10500</v>
      </c>
      <c r="F38" s="2" t="s">
        <v>84</v>
      </c>
      <c r="G38" s="9">
        <f t="shared" si="0"/>
        <v>378000</v>
      </c>
    </row>
    <row r="39" spans="1:7" x14ac:dyDescent="0.35">
      <c r="A39" s="6">
        <v>46288</v>
      </c>
      <c r="B39" s="2" t="s">
        <v>89</v>
      </c>
      <c r="C39" s="2" t="s">
        <v>76</v>
      </c>
      <c r="D39" s="2">
        <v>14</v>
      </c>
      <c r="E39" s="7">
        <v>750</v>
      </c>
      <c r="F39" s="2" t="s">
        <v>88</v>
      </c>
      <c r="G39" s="9">
        <f t="shared" si="0"/>
        <v>10500</v>
      </c>
    </row>
    <row r="40" spans="1:7" x14ac:dyDescent="0.35">
      <c r="A40" s="6">
        <v>46288</v>
      </c>
      <c r="B40" s="2" t="s">
        <v>87</v>
      </c>
      <c r="C40" s="2" t="s">
        <v>74</v>
      </c>
      <c r="D40" s="2">
        <v>17</v>
      </c>
      <c r="E40" s="7">
        <v>900</v>
      </c>
      <c r="F40" s="2" t="s">
        <v>84</v>
      </c>
      <c r="G40" s="9">
        <f t="shared" si="0"/>
        <v>15300</v>
      </c>
    </row>
    <row r="41" spans="1:7" x14ac:dyDescent="0.35">
      <c r="A41" s="6">
        <v>46290</v>
      </c>
      <c r="B41" s="2" t="s">
        <v>83</v>
      </c>
      <c r="C41" s="2" t="s">
        <v>78</v>
      </c>
      <c r="D41" s="2">
        <v>45</v>
      </c>
      <c r="E41" s="7">
        <v>8600</v>
      </c>
      <c r="F41" s="2" t="s">
        <v>84</v>
      </c>
      <c r="G41" s="9">
        <f t="shared" si="0"/>
        <v>387000</v>
      </c>
    </row>
    <row r="42" spans="1:7" x14ac:dyDescent="0.35">
      <c r="A42" s="6">
        <v>46290</v>
      </c>
      <c r="B42" s="2" t="s">
        <v>89</v>
      </c>
      <c r="C42" s="2" t="s">
        <v>78</v>
      </c>
      <c r="D42" s="2">
        <v>53</v>
      </c>
      <c r="E42" s="7">
        <v>7100</v>
      </c>
      <c r="F42" s="2" t="s">
        <v>88</v>
      </c>
      <c r="G42" s="9">
        <f t="shared" si="0"/>
        <v>376300</v>
      </c>
    </row>
    <row r="43" spans="1:7" x14ac:dyDescent="0.35">
      <c r="A43" s="6">
        <v>46290</v>
      </c>
      <c r="B43" s="2" t="s">
        <v>86</v>
      </c>
      <c r="C43" s="2" t="s">
        <v>77</v>
      </c>
      <c r="D43" s="2">
        <v>44</v>
      </c>
      <c r="E43" s="7">
        <v>7050</v>
      </c>
      <c r="F43" s="2" t="s">
        <v>84</v>
      </c>
      <c r="G43" s="9">
        <f t="shared" si="0"/>
        <v>310200</v>
      </c>
    </row>
    <row r="44" spans="1:7" x14ac:dyDescent="0.35">
      <c r="A44" s="6">
        <v>46290</v>
      </c>
      <c r="B44" s="2" t="s">
        <v>87</v>
      </c>
      <c r="C44" s="2" t="s">
        <v>76</v>
      </c>
      <c r="D44" s="2">
        <v>15</v>
      </c>
      <c r="E44" s="7">
        <v>1300</v>
      </c>
      <c r="F44" s="2" t="s">
        <v>88</v>
      </c>
      <c r="G44" s="9">
        <f t="shared" si="0"/>
        <v>19500</v>
      </c>
    </row>
    <row r="45" spans="1:7" x14ac:dyDescent="0.35">
      <c r="A45" s="6">
        <v>46292</v>
      </c>
      <c r="B45" s="2" t="s">
        <v>87</v>
      </c>
      <c r="C45" s="2" t="s">
        <v>74</v>
      </c>
      <c r="D45" s="2">
        <v>16</v>
      </c>
      <c r="E45" s="7">
        <v>1500</v>
      </c>
      <c r="F45" s="2" t="s">
        <v>88</v>
      </c>
      <c r="G45" s="9">
        <f t="shared" si="0"/>
        <v>24000</v>
      </c>
    </row>
    <row r="46" spans="1:7" x14ac:dyDescent="0.35">
      <c r="A46" s="6">
        <v>46293</v>
      </c>
      <c r="B46" s="2" t="s">
        <v>86</v>
      </c>
      <c r="C46" s="2" t="s">
        <v>78</v>
      </c>
      <c r="D46" s="2">
        <v>35</v>
      </c>
      <c r="E46" s="7">
        <v>3450</v>
      </c>
      <c r="F46" s="2" t="s">
        <v>88</v>
      </c>
      <c r="G46" s="9">
        <f t="shared" si="0"/>
        <v>120750</v>
      </c>
    </row>
    <row r="47" spans="1:7" x14ac:dyDescent="0.35">
      <c r="A47" s="6">
        <v>46293</v>
      </c>
      <c r="B47" s="2" t="s">
        <v>86</v>
      </c>
      <c r="C47" s="2" t="s">
        <v>74</v>
      </c>
      <c r="D47" s="2">
        <v>16</v>
      </c>
      <c r="E47" s="7">
        <v>600</v>
      </c>
      <c r="F47" s="2" t="s">
        <v>84</v>
      </c>
      <c r="G47" s="9">
        <f t="shared" si="0"/>
        <v>9600</v>
      </c>
    </row>
    <row r="48" spans="1:7" x14ac:dyDescent="0.35">
      <c r="A48" s="6">
        <v>46294</v>
      </c>
      <c r="B48" s="2" t="s">
        <v>86</v>
      </c>
      <c r="C48" s="2" t="s">
        <v>74</v>
      </c>
      <c r="D48" s="2">
        <v>17</v>
      </c>
      <c r="E48" s="7">
        <v>1750</v>
      </c>
      <c r="F48" s="2" t="s">
        <v>84</v>
      </c>
      <c r="G48" s="9">
        <f t="shared" si="0"/>
        <v>29750</v>
      </c>
    </row>
    <row r="49" spans="1:7" x14ac:dyDescent="0.35">
      <c r="A49" s="6">
        <v>46295</v>
      </c>
      <c r="B49" s="2" t="s">
        <v>87</v>
      </c>
      <c r="C49" s="2" t="s">
        <v>78</v>
      </c>
      <c r="D49" s="2">
        <v>24</v>
      </c>
      <c r="E49" s="7">
        <v>7850</v>
      </c>
      <c r="F49" s="2" t="s">
        <v>84</v>
      </c>
      <c r="G49" s="9">
        <f t="shared" si="0"/>
        <v>188400</v>
      </c>
    </row>
    <row r="50" spans="1:7" x14ac:dyDescent="0.35">
      <c r="A50" s="6">
        <v>46296</v>
      </c>
      <c r="B50" s="2" t="s">
        <v>85</v>
      </c>
      <c r="C50" s="2" t="s">
        <v>74</v>
      </c>
      <c r="D50" s="2">
        <v>17</v>
      </c>
      <c r="E50" s="7">
        <v>1950</v>
      </c>
      <c r="F50" s="2" t="s">
        <v>88</v>
      </c>
      <c r="G50" s="9">
        <f t="shared" si="0"/>
        <v>33150</v>
      </c>
    </row>
    <row r="51" spans="1:7" x14ac:dyDescent="0.35">
      <c r="A51" s="6">
        <v>46299</v>
      </c>
      <c r="B51" s="2" t="s">
        <v>87</v>
      </c>
      <c r="C51" s="2" t="s">
        <v>77</v>
      </c>
      <c r="D51" s="2">
        <v>12</v>
      </c>
      <c r="E51" s="7">
        <v>20450</v>
      </c>
      <c r="F51" s="2" t="s">
        <v>84</v>
      </c>
      <c r="G51" s="9">
        <f t="shared" si="0"/>
        <v>245400</v>
      </c>
    </row>
    <row r="52" spans="1:7" x14ac:dyDescent="0.35">
      <c r="A52" s="6">
        <v>46299</v>
      </c>
      <c r="B52" s="2" t="s">
        <v>89</v>
      </c>
      <c r="C52" s="2" t="s">
        <v>76</v>
      </c>
      <c r="D52" s="2">
        <v>32</v>
      </c>
      <c r="E52" s="7">
        <v>2200</v>
      </c>
      <c r="F52" s="2" t="s">
        <v>84</v>
      </c>
      <c r="G52" s="9">
        <f t="shared" si="0"/>
        <v>70400</v>
      </c>
    </row>
    <row r="53" spans="1:7" x14ac:dyDescent="0.35">
      <c r="A53" s="6">
        <v>46302</v>
      </c>
      <c r="B53" s="2" t="s">
        <v>85</v>
      </c>
      <c r="C53" s="2" t="s">
        <v>76</v>
      </c>
      <c r="D53" s="2">
        <v>20</v>
      </c>
      <c r="E53" s="7">
        <v>2350</v>
      </c>
      <c r="F53" s="2" t="s">
        <v>84</v>
      </c>
      <c r="G53" s="9">
        <f t="shared" si="0"/>
        <v>47000</v>
      </c>
    </row>
    <row r="54" spans="1:7" x14ac:dyDescent="0.35">
      <c r="A54" s="6">
        <v>46302</v>
      </c>
      <c r="B54" s="2" t="s">
        <v>86</v>
      </c>
      <c r="C54" s="2" t="s">
        <v>77</v>
      </c>
      <c r="D54" s="2">
        <v>39</v>
      </c>
      <c r="E54" s="7">
        <v>11100</v>
      </c>
      <c r="F54" s="2" t="s">
        <v>84</v>
      </c>
      <c r="G54" s="9">
        <f t="shared" si="0"/>
        <v>432900</v>
      </c>
    </row>
    <row r="55" spans="1:7" x14ac:dyDescent="0.35">
      <c r="A55" s="6">
        <v>46302</v>
      </c>
      <c r="B55" s="2" t="s">
        <v>83</v>
      </c>
      <c r="C55" s="2" t="s">
        <v>74</v>
      </c>
      <c r="D55" s="2">
        <v>35</v>
      </c>
      <c r="E55" s="7">
        <v>550</v>
      </c>
      <c r="F55" s="2" t="s">
        <v>84</v>
      </c>
      <c r="G55" s="9">
        <f t="shared" si="0"/>
        <v>19250</v>
      </c>
    </row>
    <row r="56" spans="1:7" x14ac:dyDescent="0.35">
      <c r="A56" s="6">
        <v>46303</v>
      </c>
      <c r="B56" s="2" t="s">
        <v>85</v>
      </c>
      <c r="C56" s="2" t="s">
        <v>78</v>
      </c>
      <c r="D56" s="2">
        <v>53</v>
      </c>
      <c r="E56" s="7">
        <v>9950</v>
      </c>
      <c r="F56" s="2" t="s">
        <v>84</v>
      </c>
      <c r="G56" s="9">
        <f t="shared" si="0"/>
        <v>527350</v>
      </c>
    </row>
    <row r="57" spans="1:7" x14ac:dyDescent="0.35">
      <c r="A57" s="6">
        <v>46304</v>
      </c>
      <c r="B57" s="2" t="s">
        <v>89</v>
      </c>
      <c r="C57" s="2" t="s">
        <v>75</v>
      </c>
      <c r="D57" s="2">
        <v>56</v>
      </c>
      <c r="E57" s="7">
        <v>3250</v>
      </c>
      <c r="F57" s="2" t="s">
        <v>84</v>
      </c>
      <c r="G57" s="9">
        <f t="shared" si="0"/>
        <v>182000</v>
      </c>
    </row>
    <row r="58" spans="1:7" x14ac:dyDescent="0.35">
      <c r="A58" s="6">
        <v>46306</v>
      </c>
      <c r="B58" s="2" t="s">
        <v>86</v>
      </c>
      <c r="C58" s="2" t="s">
        <v>74</v>
      </c>
      <c r="D58" s="2">
        <v>10</v>
      </c>
      <c r="E58" s="7">
        <v>600</v>
      </c>
      <c r="F58" s="2" t="s">
        <v>84</v>
      </c>
      <c r="G58" s="9">
        <f t="shared" si="0"/>
        <v>6000</v>
      </c>
    </row>
    <row r="59" spans="1:7" x14ac:dyDescent="0.35">
      <c r="A59" s="6">
        <v>46306</v>
      </c>
      <c r="B59" s="2" t="s">
        <v>89</v>
      </c>
      <c r="C59" s="2" t="s">
        <v>76</v>
      </c>
      <c r="D59" s="2">
        <v>17</v>
      </c>
      <c r="E59" s="7">
        <v>1150</v>
      </c>
      <c r="F59" s="2" t="s">
        <v>88</v>
      </c>
      <c r="G59" s="9">
        <f t="shared" si="0"/>
        <v>19550</v>
      </c>
    </row>
    <row r="60" spans="1:7" x14ac:dyDescent="0.35">
      <c r="A60" s="6">
        <v>46309</v>
      </c>
      <c r="B60" s="2" t="s">
        <v>83</v>
      </c>
      <c r="C60" s="2" t="s">
        <v>74</v>
      </c>
      <c r="D60" s="2">
        <v>15</v>
      </c>
      <c r="E60" s="7">
        <v>1950</v>
      </c>
      <c r="F60" s="2" t="s">
        <v>84</v>
      </c>
      <c r="G60" s="9">
        <f t="shared" si="0"/>
        <v>29250</v>
      </c>
    </row>
    <row r="61" spans="1:7" x14ac:dyDescent="0.35">
      <c r="A61" s="6">
        <v>46309</v>
      </c>
      <c r="B61" s="2" t="s">
        <v>85</v>
      </c>
      <c r="C61" s="2" t="s">
        <v>75</v>
      </c>
      <c r="D61" s="2">
        <v>16</v>
      </c>
      <c r="E61" s="7">
        <v>3450</v>
      </c>
      <c r="F61" s="2" t="s">
        <v>84</v>
      </c>
      <c r="G61" s="9">
        <f t="shared" si="0"/>
        <v>55200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9"/>
  <sheetViews>
    <sheetView zoomScaleNormal="100" workbookViewId="0">
      <selection activeCell="E11" sqref="E11"/>
    </sheetView>
  </sheetViews>
  <sheetFormatPr defaultColWidth="8.6328125" defaultRowHeight="14.5" x14ac:dyDescent="0.35"/>
  <cols>
    <col min="1" max="1" width="22" customWidth="1"/>
    <col min="2" max="2" width="16" customWidth="1"/>
    <col min="3" max="3" width="18" customWidth="1"/>
    <col min="4" max="4" width="12" customWidth="1"/>
  </cols>
  <sheetData>
    <row r="1" spans="1:4" x14ac:dyDescent="0.35">
      <c r="A1" s="1" t="s">
        <v>91</v>
      </c>
      <c r="B1" s="1" t="s">
        <v>92</v>
      </c>
      <c r="C1" s="1" t="s">
        <v>42</v>
      </c>
      <c r="D1" s="1" t="s">
        <v>93</v>
      </c>
    </row>
    <row r="2" spans="1:4" x14ac:dyDescent="0.35">
      <c r="A2" s="2" t="s">
        <v>48</v>
      </c>
      <c r="B2" s="2" t="s">
        <v>94</v>
      </c>
      <c r="C2" s="2" t="s">
        <v>46</v>
      </c>
      <c r="D2" s="2">
        <v>12500</v>
      </c>
    </row>
    <row r="3" spans="1:4" x14ac:dyDescent="0.35">
      <c r="A3" s="2" t="s">
        <v>52</v>
      </c>
      <c r="B3" s="2" t="s">
        <v>95</v>
      </c>
      <c r="C3" s="2" t="s">
        <v>46</v>
      </c>
      <c r="D3" s="2">
        <v>8200</v>
      </c>
    </row>
    <row r="4" spans="1:4" x14ac:dyDescent="0.35">
      <c r="A4" s="2" t="s">
        <v>55</v>
      </c>
      <c r="B4" s="2" t="s">
        <v>96</v>
      </c>
      <c r="C4" s="2" t="s">
        <v>50</v>
      </c>
      <c r="D4" s="2">
        <v>15000</v>
      </c>
    </row>
    <row r="5" spans="1:4" x14ac:dyDescent="0.35">
      <c r="A5" s="2" t="s">
        <v>59</v>
      </c>
      <c r="B5" s="2" t="s">
        <v>97</v>
      </c>
      <c r="C5" s="2" t="s">
        <v>57</v>
      </c>
      <c r="D5" s="2">
        <v>4300</v>
      </c>
    </row>
    <row r="6" spans="1:4" x14ac:dyDescent="0.35">
      <c r="A6" s="2" t="s">
        <v>63</v>
      </c>
      <c r="B6" s="2" t="s">
        <v>98</v>
      </c>
      <c r="C6" s="2" t="s">
        <v>61</v>
      </c>
      <c r="D6" s="2">
        <v>9900</v>
      </c>
    </row>
    <row r="7" spans="1:4" x14ac:dyDescent="0.35">
      <c r="A7" s="2" t="s">
        <v>66</v>
      </c>
      <c r="B7" s="2" t="s">
        <v>99</v>
      </c>
      <c r="C7" s="2" t="s">
        <v>65</v>
      </c>
      <c r="D7" s="2">
        <v>7600</v>
      </c>
    </row>
    <row r="8" spans="1:4" x14ac:dyDescent="0.35">
      <c r="A8" s="2" t="s">
        <v>112</v>
      </c>
      <c r="B8" s="2" t="s">
        <v>100</v>
      </c>
      <c r="C8" s="2" t="s">
        <v>46</v>
      </c>
      <c r="D8" s="2">
        <v>21000</v>
      </c>
    </row>
    <row r="9" spans="1:4" x14ac:dyDescent="0.35">
      <c r="A9" s="2" t="s">
        <v>113</v>
      </c>
      <c r="B9" s="2" t="s">
        <v>101</v>
      </c>
      <c r="C9" s="2" t="s">
        <v>54</v>
      </c>
      <c r="D9" s="2">
        <v>5400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Tasks</vt:lpstr>
      <vt:lpstr>Store Master</vt:lpstr>
      <vt:lpstr>Pivot Table</vt:lpstr>
      <vt:lpstr>Sales Data</vt:lpstr>
      <vt:lpstr>Purchase Data</vt:lpstr>
      <vt:lpstr>Messy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Pravalika Ravalkol</cp:lastModifiedBy>
  <cp:revision>0</cp:revision>
  <dcterms:created xsi:type="dcterms:W3CDTF">2026-10-15T16:40:05Z</dcterms:created>
  <dcterms:modified xsi:type="dcterms:W3CDTF">2026-10-28T08:12:40Z</dcterms:modified>
  <dc:language>en-US</dc:language>
</cp:coreProperties>
</file>