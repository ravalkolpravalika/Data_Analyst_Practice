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al\Downloads\"/>
    </mc:Choice>
  </mc:AlternateContent>
  <xr:revisionPtr revIDLastSave="0" documentId="13_ncr:1_{D0B5DF10-143E-4BE1-8BFF-678740031F45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Portfolio Data (Raw)" sheetId="6" r:id="rId1"/>
    <sheet name="Portfolio Data (Modified)" sheetId="1" r:id="rId2"/>
    <sheet name="FX Rate Table" sheetId="2" r:id="rId3"/>
    <sheet name="Pivot Table" sheetId="5" r:id="rId4"/>
    <sheet name="Practice Tasks" sheetId="3" r:id="rId5"/>
    <sheet name="Answer Key" sheetId="4" state="hidden" r:id="rId6"/>
  </sheets>
  <definedNames>
    <definedName name="_xlnm._FilterDatabase" localSheetId="1" hidden="1">'Portfolio Data (Modified)'!$I$1:$I$33</definedName>
  </definedNames>
  <calcPr calcId="191029" iterateDelta="1E-4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" i="1"/>
  <c r="M3" i="1"/>
  <c r="M4" i="1"/>
  <c r="M5" i="1"/>
  <c r="M6" i="1"/>
  <c r="M7" i="1"/>
  <c r="O7" i="1" s="1"/>
  <c r="M8" i="1"/>
  <c r="O8" i="1" s="1"/>
  <c r="M9" i="1"/>
  <c r="O9" i="1" s="1"/>
  <c r="M10" i="1"/>
  <c r="O10" i="1" s="1"/>
  <c r="M11" i="1"/>
  <c r="M12" i="1"/>
  <c r="M13" i="1"/>
  <c r="M14" i="1"/>
  <c r="M15" i="1"/>
  <c r="M16" i="1"/>
  <c r="O16" i="1" s="1"/>
  <c r="M17" i="1"/>
  <c r="O17" i="1" s="1"/>
  <c r="M18" i="1"/>
  <c r="O18" i="1" s="1"/>
  <c r="M19" i="1"/>
  <c r="M20" i="1"/>
  <c r="M21" i="1"/>
  <c r="M22" i="1"/>
  <c r="M23" i="1"/>
  <c r="M24" i="1"/>
  <c r="M2" i="1"/>
  <c r="O2" i="1" s="1"/>
  <c r="A6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2" i="1"/>
  <c r="R9" i="1"/>
  <c r="R17" i="1"/>
  <c r="R25" i="1"/>
  <c r="R33" i="1"/>
  <c r="R41" i="1"/>
  <c r="B30" i="1"/>
  <c r="R3" i="1" s="1"/>
  <c r="B51" i="1"/>
  <c r="Q13" i="1"/>
  <c r="Q21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P22" i="1"/>
  <c r="Q22" i="1" s="1"/>
  <c r="P23" i="1"/>
  <c r="Q23" i="1" s="1"/>
  <c r="P24" i="1"/>
  <c r="Q24" i="1" s="1"/>
  <c r="Q25" i="1"/>
  <c r="Q26" i="1"/>
  <c r="Q27" i="1"/>
  <c r="Q28" i="1"/>
  <c r="Q29" i="1"/>
  <c r="Q30" i="1"/>
  <c r="Q31" i="1"/>
  <c r="Q32" i="1"/>
  <c r="Q33" i="1"/>
  <c r="P2" i="1"/>
  <c r="Q2" i="1" s="1"/>
  <c r="A28" i="1"/>
  <c r="A5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" i="1"/>
  <c r="B35" i="1"/>
  <c r="B36" i="1"/>
  <c r="B37" i="1"/>
  <c r="B38" i="1"/>
  <c r="B39" i="1"/>
  <c r="B40" i="1"/>
  <c r="B34" i="1"/>
  <c r="O13" i="1"/>
  <c r="O21" i="1"/>
  <c r="N3" i="1"/>
  <c r="N4" i="1"/>
  <c r="B47" i="1" s="1"/>
  <c r="N5" i="1"/>
  <c r="N6" i="1"/>
  <c r="B48" i="1" s="1"/>
  <c r="N7" i="1"/>
  <c r="N8" i="1"/>
  <c r="B49" i="1" s="1"/>
  <c r="N9" i="1"/>
  <c r="N10" i="1"/>
  <c r="B50" i="1" s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" i="1"/>
  <c r="B46" i="1" s="1"/>
  <c r="O3" i="1"/>
  <c r="O4" i="1"/>
  <c r="O5" i="1"/>
  <c r="O6" i="1"/>
  <c r="O11" i="1"/>
  <c r="O12" i="1"/>
  <c r="O14" i="1"/>
  <c r="O15" i="1"/>
  <c r="O19" i="1"/>
  <c r="O20" i="1"/>
  <c r="O22" i="1"/>
  <c r="O23" i="1"/>
  <c r="O24" i="1"/>
  <c r="S24" i="4"/>
  <c r="K24" i="4"/>
  <c r="J24" i="4"/>
  <c r="I24" i="4"/>
  <c r="H24" i="4"/>
  <c r="G24" i="4"/>
  <c r="F24" i="4"/>
  <c r="E24" i="4"/>
  <c r="L24" i="4" s="1"/>
  <c r="D24" i="4"/>
  <c r="C24" i="4"/>
  <c r="B24" i="4"/>
  <c r="X24" i="4" s="1"/>
  <c r="A24" i="4"/>
  <c r="S23" i="4"/>
  <c r="K23" i="4"/>
  <c r="J23" i="4"/>
  <c r="I23" i="4"/>
  <c r="H23" i="4"/>
  <c r="G23" i="4"/>
  <c r="F23" i="4"/>
  <c r="E23" i="4"/>
  <c r="D23" i="4"/>
  <c r="C23" i="4"/>
  <c r="B23" i="4"/>
  <c r="X23" i="4" s="1"/>
  <c r="A23" i="4"/>
  <c r="S22" i="4"/>
  <c r="K22" i="4"/>
  <c r="J22" i="4"/>
  <c r="I22" i="4"/>
  <c r="H22" i="4"/>
  <c r="G22" i="4"/>
  <c r="F22" i="4"/>
  <c r="E22" i="4"/>
  <c r="L22" i="4" s="1"/>
  <c r="D22" i="4"/>
  <c r="C22" i="4"/>
  <c r="B22" i="4"/>
  <c r="X22" i="4" s="1"/>
  <c r="A22" i="4"/>
  <c r="S21" i="4"/>
  <c r="K21" i="4"/>
  <c r="J21" i="4"/>
  <c r="I21" i="4"/>
  <c r="H21" i="4"/>
  <c r="G21" i="4"/>
  <c r="F21" i="4"/>
  <c r="E21" i="4"/>
  <c r="U21" i="4" s="1"/>
  <c r="D21" i="4"/>
  <c r="C21" i="4"/>
  <c r="B21" i="4"/>
  <c r="X21" i="4" s="1"/>
  <c r="A21" i="4"/>
  <c r="S20" i="4"/>
  <c r="K20" i="4"/>
  <c r="J20" i="4"/>
  <c r="I20" i="4"/>
  <c r="H20" i="4"/>
  <c r="G20" i="4"/>
  <c r="F20" i="4"/>
  <c r="E20" i="4"/>
  <c r="D20" i="4"/>
  <c r="C20" i="4"/>
  <c r="B20" i="4"/>
  <c r="X20" i="4" s="1"/>
  <c r="A20" i="4"/>
  <c r="S19" i="4"/>
  <c r="K19" i="4"/>
  <c r="J19" i="4"/>
  <c r="I19" i="4"/>
  <c r="H19" i="4"/>
  <c r="G19" i="4"/>
  <c r="F19" i="4"/>
  <c r="E19" i="4"/>
  <c r="D19" i="4"/>
  <c r="C19" i="4"/>
  <c r="B19" i="4"/>
  <c r="X19" i="4" s="1"/>
  <c r="A19" i="4"/>
  <c r="S18" i="4"/>
  <c r="K18" i="4"/>
  <c r="J18" i="4"/>
  <c r="I18" i="4"/>
  <c r="H18" i="4"/>
  <c r="G18" i="4"/>
  <c r="F18" i="4"/>
  <c r="E18" i="4"/>
  <c r="U18" i="4" s="1"/>
  <c r="D18" i="4"/>
  <c r="C18" i="4"/>
  <c r="B18" i="4"/>
  <c r="X18" i="4" s="1"/>
  <c r="A18" i="4"/>
  <c r="S17" i="4"/>
  <c r="K17" i="4"/>
  <c r="J17" i="4"/>
  <c r="I17" i="4"/>
  <c r="H17" i="4"/>
  <c r="G17" i="4"/>
  <c r="F17" i="4"/>
  <c r="E17" i="4"/>
  <c r="D17" i="4"/>
  <c r="C17" i="4"/>
  <c r="B17" i="4"/>
  <c r="X17" i="4" s="1"/>
  <c r="A17" i="4"/>
  <c r="S16" i="4"/>
  <c r="K16" i="4"/>
  <c r="J16" i="4"/>
  <c r="I16" i="4"/>
  <c r="H16" i="4"/>
  <c r="G16" i="4"/>
  <c r="F16" i="4"/>
  <c r="E16" i="4"/>
  <c r="L16" i="4" s="1"/>
  <c r="D16" i="4"/>
  <c r="C16" i="4"/>
  <c r="B16" i="4"/>
  <c r="X16" i="4" s="1"/>
  <c r="A16" i="4"/>
  <c r="S15" i="4"/>
  <c r="K15" i="4"/>
  <c r="J15" i="4"/>
  <c r="I15" i="4"/>
  <c r="H15" i="4"/>
  <c r="G15" i="4"/>
  <c r="F15" i="4"/>
  <c r="E15" i="4"/>
  <c r="D15" i="4"/>
  <c r="C15" i="4"/>
  <c r="B15" i="4"/>
  <c r="X15" i="4" s="1"/>
  <c r="A15" i="4"/>
  <c r="S14" i="4"/>
  <c r="K14" i="4"/>
  <c r="J14" i="4"/>
  <c r="I14" i="4"/>
  <c r="H14" i="4"/>
  <c r="G14" i="4"/>
  <c r="F14" i="4"/>
  <c r="E14" i="4"/>
  <c r="D14" i="4"/>
  <c r="C14" i="4"/>
  <c r="B14" i="4"/>
  <c r="X14" i="4" s="1"/>
  <c r="A14" i="4"/>
  <c r="S13" i="4"/>
  <c r="K13" i="4"/>
  <c r="J13" i="4"/>
  <c r="I13" i="4"/>
  <c r="H13" i="4"/>
  <c r="G13" i="4"/>
  <c r="F13" i="4"/>
  <c r="E13" i="4"/>
  <c r="U13" i="4" s="1"/>
  <c r="D13" i="4"/>
  <c r="C13" i="4"/>
  <c r="B13" i="4"/>
  <c r="X13" i="4" s="1"/>
  <c r="A13" i="4"/>
  <c r="S12" i="4"/>
  <c r="K12" i="4"/>
  <c r="J12" i="4"/>
  <c r="I12" i="4"/>
  <c r="H12" i="4"/>
  <c r="G12" i="4"/>
  <c r="F12" i="4"/>
  <c r="E12" i="4"/>
  <c r="U12" i="4" s="1"/>
  <c r="D12" i="4"/>
  <c r="C12" i="4"/>
  <c r="B12" i="4"/>
  <c r="X12" i="4" s="1"/>
  <c r="A12" i="4"/>
  <c r="S11" i="4"/>
  <c r="K11" i="4"/>
  <c r="J11" i="4"/>
  <c r="I11" i="4"/>
  <c r="H11" i="4"/>
  <c r="G11" i="4"/>
  <c r="F11" i="4"/>
  <c r="E11" i="4"/>
  <c r="D11" i="4"/>
  <c r="C11" i="4"/>
  <c r="B11" i="4"/>
  <c r="X11" i="4" s="1"/>
  <c r="A11" i="4"/>
  <c r="S10" i="4"/>
  <c r="K10" i="4"/>
  <c r="J10" i="4"/>
  <c r="I10" i="4"/>
  <c r="H10" i="4"/>
  <c r="G10" i="4"/>
  <c r="F10" i="4"/>
  <c r="E10" i="4"/>
  <c r="D10" i="4"/>
  <c r="C10" i="4"/>
  <c r="B10" i="4"/>
  <c r="X10" i="4" s="1"/>
  <c r="A10" i="4"/>
  <c r="S9" i="4"/>
  <c r="K9" i="4"/>
  <c r="J9" i="4"/>
  <c r="I9" i="4"/>
  <c r="H9" i="4"/>
  <c r="G9" i="4"/>
  <c r="F9" i="4"/>
  <c r="E9" i="4"/>
  <c r="D9" i="4"/>
  <c r="C9" i="4"/>
  <c r="B9" i="4"/>
  <c r="X9" i="4" s="1"/>
  <c r="A9" i="4"/>
  <c r="S8" i="4"/>
  <c r="K8" i="4"/>
  <c r="J8" i="4"/>
  <c r="I8" i="4"/>
  <c r="H8" i="4"/>
  <c r="G8" i="4"/>
  <c r="F8" i="4"/>
  <c r="E8" i="4"/>
  <c r="L8" i="4" s="1"/>
  <c r="D8" i="4"/>
  <c r="C8" i="4"/>
  <c r="B8" i="4"/>
  <c r="X8" i="4" s="1"/>
  <c r="A8" i="4"/>
  <c r="S7" i="4"/>
  <c r="K7" i="4"/>
  <c r="J7" i="4"/>
  <c r="I7" i="4"/>
  <c r="H7" i="4"/>
  <c r="G7" i="4"/>
  <c r="F7" i="4"/>
  <c r="E7" i="4"/>
  <c r="D7" i="4"/>
  <c r="C7" i="4"/>
  <c r="B7" i="4"/>
  <c r="X7" i="4" s="1"/>
  <c r="A7" i="4"/>
  <c r="S6" i="4"/>
  <c r="K6" i="4"/>
  <c r="J6" i="4"/>
  <c r="I6" i="4"/>
  <c r="H6" i="4"/>
  <c r="G6" i="4"/>
  <c r="F6" i="4"/>
  <c r="E6" i="4"/>
  <c r="D6" i="4"/>
  <c r="C6" i="4"/>
  <c r="B6" i="4"/>
  <c r="X6" i="4" s="1"/>
  <c r="A6" i="4"/>
  <c r="S5" i="4"/>
  <c r="K5" i="4"/>
  <c r="J5" i="4"/>
  <c r="I5" i="4"/>
  <c r="H5" i="4"/>
  <c r="G5" i="4"/>
  <c r="F5" i="4"/>
  <c r="E5" i="4"/>
  <c r="D5" i="4"/>
  <c r="C5" i="4"/>
  <c r="B5" i="4"/>
  <c r="X5" i="4" s="1"/>
  <c r="A5" i="4"/>
  <c r="S4" i="4"/>
  <c r="K4" i="4"/>
  <c r="J4" i="4"/>
  <c r="I4" i="4"/>
  <c r="H4" i="4"/>
  <c r="G4" i="4"/>
  <c r="F4" i="4"/>
  <c r="E4" i="4"/>
  <c r="D4" i="4"/>
  <c r="C4" i="4"/>
  <c r="B4" i="4"/>
  <c r="X4" i="4" s="1"/>
  <c r="A4" i="4"/>
  <c r="S3" i="4"/>
  <c r="K3" i="4"/>
  <c r="J3" i="4"/>
  <c r="I3" i="4"/>
  <c r="H3" i="4"/>
  <c r="G3" i="4"/>
  <c r="F3" i="4"/>
  <c r="E3" i="4"/>
  <c r="D3" i="4"/>
  <c r="C3" i="4"/>
  <c r="B3" i="4"/>
  <c r="X3" i="4" s="1"/>
  <c r="A3" i="4"/>
  <c r="S2" i="4"/>
  <c r="K2" i="4"/>
  <c r="J2" i="4"/>
  <c r="I2" i="4"/>
  <c r="H2" i="4"/>
  <c r="G2" i="4"/>
  <c r="F2" i="4"/>
  <c r="E2" i="4"/>
  <c r="D2" i="4"/>
  <c r="C2" i="4"/>
  <c r="B2" i="4"/>
  <c r="X2" i="4" s="1"/>
  <c r="A2" i="4"/>
  <c r="B66" i="1" l="1"/>
  <c r="B65" i="1"/>
  <c r="B64" i="1"/>
  <c r="C64" i="1" s="1"/>
  <c r="R42" i="1"/>
  <c r="R34" i="1"/>
  <c r="R26" i="1"/>
  <c r="R18" i="1"/>
  <c r="R10" i="1"/>
  <c r="R40" i="1"/>
  <c r="R32" i="1"/>
  <c r="R24" i="1"/>
  <c r="R16" i="1"/>
  <c r="R8" i="1"/>
  <c r="R39" i="1"/>
  <c r="R31" i="1"/>
  <c r="R23" i="1"/>
  <c r="R15" i="1"/>
  <c r="R7" i="1"/>
  <c r="R38" i="1"/>
  <c r="R30" i="1"/>
  <c r="R22" i="1"/>
  <c r="R14" i="1"/>
  <c r="R6" i="1"/>
  <c r="R37" i="1"/>
  <c r="R29" i="1"/>
  <c r="R21" i="1"/>
  <c r="R13" i="1"/>
  <c r="R5" i="1"/>
  <c r="R36" i="1"/>
  <c r="R28" i="1"/>
  <c r="R20" i="1"/>
  <c r="R12" i="1"/>
  <c r="R4" i="1"/>
  <c r="R2" i="1"/>
  <c r="R35" i="1"/>
  <c r="R27" i="1"/>
  <c r="R19" i="1"/>
  <c r="R11" i="1"/>
  <c r="B42" i="1"/>
  <c r="A55" i="1"/>
  <c r="B55" i="1" s="1"/>
  <c r="B41" i="1"/>
  <c r="U5" i="4"/>
  <c r="L15" i="4"/>
  <c r="U3" i="4"/>
  <c r="L7" i="4"/>
  <c r="N7" i="4" s="1"/>
  <c r="U17" i="4"/>
  <c r="U23" i="4"/>
  <c r="R21" i="4"/>
  <c r="W21" i="4"/>
  <c r="L23" i="4"/>
  <c r="O4" i="4"/>
  <c r="P4" i="4" s="1"/>
  <c r="W6" i="4"/>
  <c r="O19" i="4"/>
  <c r="U20" i="4"/>
  <c r="P21" i="4"/>
  <c r="U10" i="4"/>
  <c r="T13" i="4"/>
  <c r="W18" i="4"/>
  <c r="T8" i="4"/>
  <c r="T6" i="4"/>
  <c r="T7" i="4"/>
  <c r="T22" i="4"/>
  <c r="U9" i="4"/>
  <c r="L21" i="4"/>
  <c r="R13" i="4"/>
  <c r="U4" i="4"/>
  <c r="O11" i="4"/>
  <c r="P11" i="4" s="1"/>
  <c r="O13" i="4"/>
  <c r="W14" i="4"/>
  <c r="T15" i="4"/>
  <c r="O21" i="4"/>
  <c r="O6" i="4"/>
  <c r="P6" i="4" s="1"/>
  <c r="Q20" i="4"/>
  <c r="O22" i="4"/>
  <c r="P22" i="4" s="1"/>
  <c r="B36" i="4"/>
  <c r="W5" i="4"/>
  <c r="Q16" i="4"/>
  <c r="U19" i="4"/>
  <c r="W20" i="4"/>
  <c r="Q21" i="4"/>
  <c r="O3" i="4"/>
  <c r="P3" i="4" s="1"/>
  <c r="L6" i="4"/>
  <c r="N6" i="4" s="1"/>
  <c r="W10" i="4"/>
  <c r="L13" i="4"/>
  <c r="W13" i="4"/>
  <c r="T16" i="4"/>
  <c r="W4" i="4"/>
  <c r="T5" i="4"/>
  <c r="O12" i="4"/>
  <c r="P12" i="4" s="1"/>
  <c r="N13" i="4"/>
  <c r="T14" i="4"/>
  <c r="W19" i="4"/>
  <c r="W22" i="4"/>
  <c r="W11" i="4"/>
  <c r="B45" i="4"/>
  <c r="W3" i="4"/>
  <c r="O5" i="4"/>
  <c r="P5" i="4" s="1"/>
  <c r="O14" i="4"/>
  <c r="P14" i="4" s="1"/>
  <c r="T21" i="4"/>
  <c r="T23" i="4"/>
  <c r="P13" i="4"/>
  <c r="W24" i="4"/>
  <c r="B51" i="4"/>
  <c r="Q22" i="4"/>
  <c r="U11" i="4"/>
  <c r="W12" i="4"/>
  <c r="Q13" i="4"/>
  <c r="L14" i="4"/>
  <c r="N14" i="4" s="1"/>
  <c r="O20" i="4"/>
  <c r="P20" i="4" s="1"/>
  <c r="N21" i="4"/>
  <c r="T24" i="4"/>
  <c r="B28" i="4"/>
  <c r="U2" i="4"/>
  <c r="W2" i="4"/>
  <c r="Q5" i="4"/>
  <c r="M7" i="4"/>
  <c r="U7" i="4"/>
  <c r="N8" i="4"/>
  <c r="W8" i="4"/>
  <c r="O9" i="4"/>
  <c r="P9" i="4" s="1"/>
  <c r="Q11" i="4"/>
  <c r="M15" i="4"/>
  <c r="N16" i="4"/>
  <c r="Q2" i="4"/>
  <c r="L5" i="4"/>
  <c r="N5" i="4" s="1"/>
  <c r="M6" i="4"/>
  <c r="O8" i="4"/>
  <c r="P8" i="4" s="1"/>
  <c r="Q10" i="4"/>
  <c r="U14" i="4"/>
  <c r="W15" i="4"/>
  <c r="Q18" i="4"/>
  <c r="M22" i="4"/>
  <c r="N23" i="4"/>
  <c r="W23" i="4"/>
  <c r="O24" i="4"/>
  <c r="P24" i="4" s="1"/>
  <c r="B46" i="4"/>
  <c r="M9" i="4"/>
  <c r="Q4" i="4"/>
  <c r="M16" i="4"/>
  <c r="U16" i="4"/>
  <c r="W17" i="4"/>
  <c r="O18" i="4"/>
  <c r="P18" i="4" s="1"/>
  <c r="P19" i="4"/>
  <c r="Q3" i="4"/>
  <c r="W16" i="4"/>
  <c r="O17" i="4"/>
  <c r="P17" i="4" s="1"/>
  <c r="Q19" i="4"/>
  <c r="U6" i="4"/>
  <c r="W7" i="4"/>
  <c r="M14" i="4"/>
  <c r="N15" i="4"/>
  <c r="O16" i="4"/>
  <c r="P16" i="4" s="1"/>
  <c r="U22" i="4"/>
  <c r="B37" i="4"/>
  <c r="L4" i="4"/>
  <c r="N4" i="4" s="1"/>
  <c r="T4" i="4"/>
  <c r="M5" i="4"/>
  <c r="O7" i="4"/>
  <c r="P7" i="4" s="1"/>
  <c r="Q9" i="4"/>
  <c r="L12" i="4"/>
  <c r="N12" i="4" s="1"/>
  <c r="T12" i="4"/>
  <c r="M13" i="4"/>
  <c r="O15" i="4"/>
  <c r="P15" i="4" s="1"/>
  <c r="Q17" i="4"/>
  <c r="L20" i="4"/>
  <c r="N20" i="4" s="1"/>
  <c r="T20" i="4"/>
  <c r="M21" i="4"/>
  <c r="N22" i="4"/>
  <c r="O23" i="4"/>
  <c r="P23" i="4" s="1"/>
  <c r="O2" i="4"/>
  <c r="P2" i="4" s="1"/>
  <c r="U15" i="4"/>
  <c r="L3" i="4"/>
  <c r="N3" i="4" s="1"/>
  <c r="T3" i="4"/>
  <c r="M4" i="4"/>
  <c r="Q8" i="4"/>
  <c r="L11" i="4"/>
  <c r="N11" i="4" s="1"/>
  <c r="T11" i="4"/>
  <c r="M12" i="4"/>
  <c r="L19" i="4"/>
  <c r="N19" i="4" s="1"/>
  <c r="T19" i="4"/>
  <c r="M20" i="4"/>
  <c r="Q24" i="4"/>
  <c r="B31" i="4"/>
  <c r="M8" i="4"/>
  <c r="U8" i="4"/>
  <c r="W9" i="4"/>
  <c r="O10" i="4"/>
  <c r="P10" i="4" s="1"/>
  <c r="Q12" i="4"/>
  <c r="L2" i="4"/>
  <c r="N2" i="4" s="1"/>
  <c r="T2" i="4"/>
  <c r="M3" i="4"/>
  <c r="Q7" i="4"/>
  <c r="L10" i="4"/>
  <c r="N10" i="4" s="1"/>
  <c r="T10" i="4"/>
  <c r="M11" i="4"/>
  <c r="Q15" i="4"/>
  <c r="L18" i="4"/>
  <c r="N18" i="4" s="1"/>
  <c r="T18" i="4"/>
  <c r="M19" i="4"/>
  <c r="Q23" i="4"/>
  <c r="B32" i="4"/>
  <c r="B41" i="4"/>
  <c r="B53" i="4"/>
  <c r="M2" i="4"/>
  <c r="Q6" i="4"/>
  <c r="L9" i="4"/>
  <c r="N9" i="4" s="1"/>
  <c r="T9" i="4"/>
  <c r="M10" i="4"/>
  <c r="Q14" i="4"/>
  <c r="L17" i="4"/>
  <c r="N17" i="4" s="1"/>
  <c r="T17" i="4"/>
  <c r="M18" i="4"/>
  <c r="B33" i="4"/>
  <c r="B42" i="4"/>
  <c r="B34" i="4"/>
  <c r="B43" i="4"/>
  <c r="M17" i="4"/>
  <c r="M24" i="4"/>
  <c r="U24" i="4"/>
  <c r="B35" i="4"/>
  <c r="B44" i="4"/>
  <c r="M23" i="4"/>
  <c r="N24" i="4"/>
  <c r="C65" i="1" l="1"/>
  <c r="C66" i="1"/>
  <c r="B52" i="1"/>
  <c r="C51" i="1" s="1"/>
  <c r="B57" i="4"/>
  <c r="B56" i="4"/>
  <c r="R24" i="4"/>
  <c r="R11" i="4"/>
  <c r="R3" i="4"/>
  <c r="R2" i="4"/>
  <c r="B58" i="4"/>
  <c r="R12" i="4"/>
  <c r="R17" i="4"/>
  <c r="R4" i="4"/>
  <c r="R19" i="4"/>
  <c r="B49" i="4"/>
  <c r="R22" i="4"/>
  <c r="R5" i="4"/>
  <c r="R23" i="4"/>
  <c r="R15" i="4"/>
  <c r="R7" i="4"/>
  <c r="R16" i="4"/>
  <c r="R6" i="4"/>
  <c r="R14" i="4"/>
  <c r="B60" i="4"/>
  <c r="C38" i="4"/>
  <c r="B38" i="4"/>
  <c r="R18" i="4"/>
  <c r="R10" i="4"/>
  <c r="R8" i="4"/>
  <c r="R9" i="4"/>
  <c r="R20" i="4"/>
  <c r="C50" i="1" l="1"/>
  <c r="C46" i="1"/>
  <c r="C47" i="1"/>
  <c r="C49" i="1"/>
  <c r="C48" i="1"/>
</calcChain>
</file>

<file path=xl/sharedStrings.xml><?xml version="1.0" encoding="utf-8"?>
<sst xmlns="http://schemas.openxmlformats.org/spreadsheetml/2006/main" count="624" uniqueCount="208">
  <si>
    <t>Property ID</t>
  </si>
  <si>
    <t>Property Name</t>
  </si>
  <si>
    <t>City</t>
  </si>
  <si>
    <t>Property Type</t>
  </si>
  <si>
    <t>Total Area (sqft)</t>
  </si>
  <si>
    <t>Lease Status</t>
  </si>
  <si>
    <t>Tenant Name</t>
  </si>
  <si>
    <t>Tenant Industry</t>
  </si>
  <si>
    <t>Lease Start Date</t>
  </si>
  <si>
    <t>Lease End Date</t>
  </si>
  <si>
    <t>Monthly Rent (INR)</t>
  </si>
  <si>
    <t>Landlord Contact</t>
  </si>
  <si>
    <t>T001</t>
  </si>
  <si>
    <t>Horizon Corporate Suites</t>
  </si>
  <si>
    <t xml:space="preserve"> Bengaluru</t>
  </si>
  <si>
    <t>Office</t>
  </si>
  <si>
    <t>Active</t>
  </si>
  <si>
    <t>Pulse Robotics</t>
  </si>
  <si>
    <t>2021-06-01</t>
  </si>
  <si>
    <t>2027-05-31</t>
  </si>
  <si>
    <t>Rajan Mehta</t>
  </si>
  <si>
    <t>T002</t>
  </si>
  <si>
    <t>Bengaluru</t>
  </si>
  <si>
    <t>T003</t>
  </si>
  <si>
    <t>Meridian Trade Tower</t>
  </si>
  <si>
    <t>hyderabad</t>
  </si>
  <si>
    <t>Orbit Financial Services</t>
  </si>
  <si>
    <t>2020-02-10</t>
  </si>
  <si>
    <t>2028-02-09</t>
  </si>
  <si>
    <t>Kavya Rao</t>
  </si>
  <si>
    <t>T004</t>
  </si>
  <si>
    <t xml:space="preserve">Meridian Trade Tower </t>
  </si>
  <si>
    <t>Hyderabad</t>
  </si>
  <si>
    <t>office</t>
  </si>
  <si>
    <t>Finance</t>
  </si>
  <si>
    <t>T005</t>
  </si>
  <si>
    <t>Cedar Grove Outlet</t>
  </si>
  <si>
    <t>Chennai</t>
  </si>
  <si>
    <t>Retail</t>
  </si>
  <si>
    <t>Coastal Crafts</t>
  </si>
  <si>
    <t>2023-09-01</t>
  </si>
  <si>
    <t>2025-08-31</t>
  </si>
  <si>
    <t>T006</t>
  </si>
  <si>
    <t>CHENNAI</t>
  </si>
  <si>
    <t>Retail Trade</t>
  </si>
  <si>
    <t>T007</t>
  </si>
  <si>
    <t>Portside Storage Hub</t>
  </si>
  <si>
    <t>Mumbai</t>
  </si>
  <si>
    <t>Industrial</t>
  </si>
  <si>
    <t>Anchor Freight Co</t>
  </si>
  <si>
    <t>2019-04-15</t>
  </si>
  <si>
    <t>2029-04-14</t>
  </si>
  <si>
    <t>Imran Sheikh</t>
  </si>
  <si>
    <t>T008</t>
  </si>
  <si>
    <t xml:space="preserve">Mumbai </t>
  </si>
  <si>
    <t>Logistics</t>
  </si>
  <si>
    <t>T009</t>
  </si>
  <si>
    <t>Willowbrook IT Park</t>
  </si>
  <si>
    <t>Pune</t>
  </si>
  <si>
    <t>Vertex Cloud Labs</t>
  </si>
  <si>
    <t>2022-11-01</t>
  </si>
  <si>
    <t>2025-10-31</t>
  </si>
  <si>
    <t>Sneha Kulkarni</t>
  </si>
  <si>
    <t>T010</t>
  </si>
  <si>
    <t>pune</t>
  </si>
  <si>
    <t>T011</t>
  </si>
  <si>
    <t>Clover Street Mall</t>
  </si>
  <si>
    <t>Bloom Boutique</t>
  </si>
  <si>
    <t>2024-02-01</t>
  </si>
  <si>
    <t>2026-01-31</t>
  </si>
  <si>
    <t>Farhan Ali</t>
  </si>
  <si>
    <t>T012</t>
  </si>
  <si>
    <t>T013</t>
  </si>
  <si>
    <t>Ironbridge Logistics Center</t>
  </si>
  <si>
    <t>Delhi</t>
  </si>
  <si>
    <t>Capital Movers</t>
  </si>
  <si>
    <t>2018-08-20</t>
  </si>
  <si>
    <t>2028-08-19</t>
  </si>
  <si>
    <t>T014</t>
  </si>
  <si>
    <t xml:space="preserve"> Delhi</t>
  </si>
  <si>
    <t>industrial</t>
  </si>
  <si>
    <t>T015</t>
  </si>
  <si>
    <t>Skyward Business Tower</t>
  </si>
  <si>
    <t xml:space="preserve">hyderabad </t>
  </si>
  <si>
    <t>Nova Insurance Group</t>
  </si>
  <si>
    <t>2023-01-15</t>
  </si>
  <si>
    <t>2026-01-14</t>
  </si>
  <si>
    <t>Divya Reddy</t>
  </si>
  <si>
    <t>T016</t>
  </si>
  <si>
    <t>T017</t>
  </si>
  <si>
    <t>Seabreeze Shopping Court</t>
  </si>
  <si>
    <t>Palm Leaf Eatery</t>
  </si>
  <si>
    <t>2024-06-01</t>
  </si>
  <si>
    <t>Ganesh Pillai</t>
  </si>
  <si>
    <t>T018</t>
  </si>
  <si>
    <t>chennai</t>
  </si>
  <si>
    <t>retail</t>
  </si>
  <si>
    <t>Food &amp; Beverage</t>
  </si>
  <si>
    <t>T019</t>
  </si>
  <si>
    <t>Maple Ridge Office Complex</t>
  </si>
  <si>
    <t>Ledger &amp; Co Advisory</t>
  </si>
  <si>
    <t>2021-05-10</t>
  </si>
  <si>
    <t>2024-05-09</t>
  </si>
  <si>
    <t>T020</t>
  </si>
  <si>
    <t>T021</t>
  </si>
  <si>
    <t>Harborline Distribution Center</t>
  </si>
  <si>
    <t>Continental Cargo</t>
  </si>
  <si>
    <t>2022-03-01</t>
  </si>
  <si>
    <t>2030-02-28</t>
  </si>
  <si>
    <t>Priya Nair</t>
  </si>
  <si>
    <t>T022</t>
  </si>
  <si>
    <t>Crown Point Plaza</t>
  </si>
  <si>
    <t>Summit Legal Partners</t>
  </si>
  <si>
    <t>2020-09-01</t>
  </si>
  <si>
    <t>2026-08-31</t>
  </si>
  <si>
    <t>Anand Verma</t>
  </si>
  <si>
    <t>T023</t>
  </si>
  <si>
    <t>Professional Services</t>
  </si>
  <si>
    <t>Currency</t>
  </si>
  <si>
    <t>Rate (INR per unit)</t>
  </si>
  <si>
    <t>USD</t>
  </si>
  <si>
    <t>EUR</t>
  </si>
  <si>
    <t>GBP</t>
  </si>
  <si>
    <t>#</t>
  </si>
  <si>
    <t>Task</t>
  </si>
  <si>
    <t>Suggested time</t>
  </si>
  <si>
    <t>Count how many unique properties exist in the portfolio (duplicate lease rows should count as one property).</t>
  </si>
  <si>
    <t>2 min</t>
  </si>
  <si>
    <t>Clean Tenant Industry into consistent Title Case in a new column.</t>
  </si>
  <si>
    <t>Convert each active lease's Monthly Rent from INR to USD, using the FX Rate Table (don't hardcode the rate).</t>
  </si>
  <si>
    <t>3 min</t>
  </si>
  <si>
    <t>Calculate each active lease's Annual Rent in both INR and USD.</t>
  </si>
  <si>
    <t>Calculate each property's lease term length in years (Lease Start to Lease End).</t>
  </si>
  <si>
    <t>Classify each lease as 'Short-Term' (under 3 years) or 'Long-Term' (3 years or more).</t>
  </si>
  <si>
    <t>Calculate the portfolio's average Total Area across active leases — as a formula, not a typed-in number — then flag every property above that average as 'Above Average Size'.</t>
  </si>
  <si>
    <t>4 min</t>
  </si>
  <si>
    <t>Find which Tenant Industry generates the highest total active Monthly Rent, and show the amount.</t>
  </si>
  <si>
    <t>Calculate each City's share of total active portfolio rent, as a percentage.</t>
  </si>
  <si>
    <t>Find the property with the lowest rent per sqft among all active leases.</t>
  </si>
  <si>
    <t>Find the second-highest Monthly Rent in the entire portfolio (not the highest).</t>
  </si>
  <si>
    <t>Classify each active lease as 'Premium Account' if its Monthly Rent is in the top 25% of all active leases, else 'Standard'.</t>
  </si>
  <si>
    <t>Count how many active leases are missing a Landlord Contact.</t>
  </si>
  <si>
    <t>Determine which Property Type contributes the largest share (%) of total active Annual Rent (USD).</t>
  </si>
  <si>
    <t>Count how many distinct calendar years appear across all Lease Start Dates.</t>
  </si>
  <si>
    <t>Build a Pivot Table: City (rows) x Property Type (columns) x Sum of Annual Rent (USD) (values).</t>
  </si>
  <si>
    <t>5 min</t>
  </si>
  <si>
    <t>Apply conditional formatting to highlight 'Long-Term' leases in one colour and 'Short-Term' in another.</t>
  </si>
  <si>
    <t>Suggested total time: ~58 minutes</t>
  </si>
  <si>
    <t>Status</t>
  </si>
  <si>
    <t>Tenant Industry (clean)</t>
  </si>
  <si>
    <t>Rent (USD)</t>
  </si>
  <si>
    <t>Annual Rent (INR)</t>
  </si>
  <si>
    <t>Annual Rent (USD)</t>
  </si>
  <si>
    <t>Lease Term (yrs)</t>
  </si>
  <si>
    <t>Term Class</t>
  </si>
  <si>
    <t>Above Avg Size</t>
  </si>
  <si>
    <t>Premium Account</t>
  </si>
  <si>
    <t>Cleanup Flag</t>
  </si>
  <si>
    <t>Lease Start Year</t>
  </si>
  <si>
    <t>Active Rent (helper)</t>
  </si>
  <si>
    <t>Active Rent/Sqft (helper)</t>
  </si>
  <si>
    <t>Property Name (trimmed, helper)</t>
  </si>
  <si>
    <t>Summary answers</t>
  </si>
  <si>
    <t>Unique properties (Task 1)</t>
  </si>
  <si>
    <t>Top industry by total active rent (Task 8)</t>
  </si>
  <si>
    <t>It Services</t>
  </si>
  <si>
    <t>Fashion Retail</t>
  </si>
  <si>
    <t>Answer:</t>
  </si>
  <si>
    <t>City share of total active rent % (Task 9)</t>
  </si>
  <si>
    <t>Property with lowest active rent/sqft (Task 10)</t>
  </si>
  <si>
    <t>Property Name:</t>
  </si>
  <si>
    <t>Second-highest Monthly Rent overall (Task 11)</t>
  </si>
  <si>
    <t>Active leases missing Landlord Contact (Task 13)</t>
  </si>
  <si>
    <t>Property Type share of total active Annual Rent USD (Task 15)</t>
  </si>
  <si>
    <t>Distinct Lease Start Years (Task 16)</t>
  </si>
  <si>
    <t>Vacant</t>
  </si>
  <si>
    <t/>
  </si>
  <si>
    <t>done</t>
  </si>
  <si>
    <t>Monthly Rent (USD)</t>
  </si>
  <si>
    <t>Lease Term(Years)</t>
  </si>
  <si>
    <t>Avg Total Area</t>
  </si>
  <si>
    <t>Flag of Avg of Total area</t>
  </si>
  <si>
    <t>Tenant Industry generates the highest total active Monthly Rent</t>
  </si>
  <si>
    <t xml:space="preserve">Tenant Industry </t>
  </si>
  <si>
    <t>City's share of total active portfolio rent</t>
  </si>
  <si>
    <t>Rent</t>
  </si>
  <si>
    <t xml:space="preserve"> montly rent</t>
  </si>
  <si>
    <t>highest total active Monthly Rent</t>
  </si>
  <si>
    <t>%</t>
  </si>
  <si>
    <t>Rent per sqft</t>
  </si>
  <si>
    <t>property with the lowest rent per sqft</t>
  </si>
  <si>
    <t xml:space="preserve">Second Highest </t>
  </si>
  <si>
    <t>Grand Total</t>
  </si>
  <si>
    <t>Sum of Annual Rent (USD)</t>
  </si>
  <si>
    <t>Lease Term</t>
  </si>
  <si>
    <t>Property Type contributes the largest share (%) of total active Annual Rent (USD).</t>
  </si>
  <si>
    <t>Timed Practice Drill - Assignment 3</t>
  </si>
  <si>
    <t>it services</t>
  </si>
  <si>
    <t>IT Services</t>
  </si>
  <si>
    <t>finance</t>
  </si>
  <si>
    <t>active</t>
  </si>
  <si>
    <t>retail trade</t>
  </si>
  <si>
    <t>logistics</t>
  </si>
  <si>
    <t>fashion retail</t>
  </si>
  <si>
    <t>vacant</t>
  </si>
  <si>
    <t>food &amp; beverage</t>
  </si>
  <si>
    <t>professional services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</si>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</sst>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Times New Roman"/>
      <charset val="1"/>
    </font>
    <font>
      <sz val="11"/>
      <name val="Times New Roman"/>
      <charset val="1"/>
    </font>
    <font>
      <b/>
      <sz val="14"/>
      <color rgb="FF1F3864"/>
      <name val="Times New Roman"/>
      <charset val="1"/>
    </font>
    <font>
      <i/>
      <sz val="10"/>
      <name val="Times New Roman"/>
      <charset val="1"/>
    </font>
    <font>
      <b/>
      <sz val="11"/>
      <name val="Times New Roman"/>
      <charset val="1"/>
    </font>
    <font>
      <b/>
      <sz val="11"/>
      <color rgb="FF1F3864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1"/>
      <name val="Calibri"/>
      <family val="2"/>
    </font>
    <font>
      <b/>
      <sz val="11"/>
      <name val="Times New Roman"/>
      <family val="1"/>
    </font>
    <font>
      <b/>
      <sz val="10"/>
      <name val="Arial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/>
        <b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7">
    <xf numFmtId="0" fontId="0" fillId="0" borderId="0" xfId="0"/>
    <xf numFmtId="0" fontId="7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wrapText="1"/>
    </xf>
    <xf numFmtId="0" fontId="3" fillId="0" borderId="0" xfId="0" applyFont="1"/>
    <xf numFmtId="0" fontId="2" fillId="2" borderId="0" xfId="0" applyFont="1" applyFill="1"/>
    <xf numFmtId="0" fontId="6" fillId="0" borderId="0" xfId="0" applyFont="1"/>
    <xf numFmtId="0" fontId="3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3" borderId="0" xfId="0" applyFont="1" applyFill="1" applyAlignment="1">
      <alignment horizontal="center" wrapText="1"/>
    </xf>
    <xf numFmtId="0" fontId="11" fillId="0" borderId="0" xfId="0" applyFont="1" applyAlignment="1">
      <alignment vertical="top" wrapText="1"/>
    </xf>
    <xf numFmtId="0" fontId="12" fillId="2" borderId="0" xfId="0" applyFont="1" applyFill="1" applyAlignment="1">
      <alignment horizontal="center" wrapText="1"/>
    </xf>
    <xf numFmtId="0" fontId="13" fillId="0" borderId="0" xfId="0" applyFont="1"/>
    <xf numFmtId="0" fontId="11" fillId="0" borderId="0" xfId="0" applyFont="1"/>
    <xf numFmtId="0" fontId="14" fillId="0" borderId="0" xfId="0" applyFont="1"/>
    <xf numFmtId="0" fontId="1" fillId="0" borderId="0" xfId="1" applyNumberFormat="1"/>
    <xf numFmtId="0" fontId="15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4" fontId="2" fillId="2" borderId="0" xfId="0" applyNumberFormat="1" applyFont="1" applyFill="1" applyAlignment="1">
      <alignment horizontal="center" wrapText="1"/>
    </xf>
    <xf numFmtId="14" fontId="3" fillId="0" borderId="0" xfId="0" applyNumberFormat="1" applyFont="1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7" fillId="0" borderId="0" xfId="0" applyFont="1"/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a Ravalkol" refreshedDate="46290.013910185182" createdVersion="8" refreshedVersion="8" minRefreshableVersion="3" recordCount="23" xr:uid="{4C4BD35E-FF0E-4AA5-8535-8D6A1391D1F5}">
  <cacheSource type="worksheet">
    <worksheetSource ref="A1:T24" sheet="Portfolio Data (Modified)"/>
  </cacheSource>
  <cacheFields count="20">
    <cacheField name="Property ID" numFmtId="0">
      <sharedItems/>
    </cacheField>
    <cacheField name="Property Name" numFmtId="0">
      <sharedItems/>
    </cacheField>
    <cacheField name="City" numFmtId="0">
      <sharedItems count="6">
        <s v="Bengaluru"/>
        <s v="Hyderabad"/>
        <s v="Chennai"/>
        <s v="Mumbai"/>
        <s v="Pune"/>
        <s v="Delhi"/>
      </sharedItems>
    </cacheField>
    <cacheField name="Property Type" numFmtId="0">
      <sharedItems count="3">
        <s v="Office"/>
        <s v="Retail"/>
        <s v="Industrial"/>
      </sharedItems>
    </cacheField>
    <cacheField name="Total Area (sqft)" numFmtId="0">
      <sharedItems containsSemiMixedTypes="0" containsString="0" containsNumber="1" containsInteger="1" minValue="17500" maxValue="158000"/>
    </cacheField>
    <cacheField name="Lease Status" numFmtId="0">
      <sharedItems/>
    </cacheField>
    <cacheField name="Tenant Name" numFmtId="0">
      <sharedItems containsBlank="1"/>
    </cacheField>
    <cacheField name="Tenant Industry" numFmtId="0">
      <sharedItems/>
    </cacheField>
    <cacheField name="Lease Start Date" numFmtId="14">
      <sharedItems containsBlank="1"/>
    </cacheField>
    <cacheField name="Lease End Date" numFmtId="14">
      <sharedItems containsBlank="1"/>
    </cacheField>
    <cacheField name="Monthly Rent (INR)" numFmtId="0">
      <sharedItems containsString="0" containsBlank="1" containsNumber="1" containsInteger="1" minValue="760000" maxValue="3980000"/>
    </cacheField>
    <cacheField name="Landlord Contact" numFmtId="0">
      <sharedItems containsBlank="1"/>
    </cacheField>
    <cacheField name="Monthly Rent (USD)" numFmtId="0">
      <sharedItems containsMixedTypes="1" containsNumber="1" minValue="9101.7964071856295" maxValue="47664.670658682633"/>
    </cacheField>
    <cacheField name="Annual Rent (INR)" numFmtId="0">
      <sharedItems containsMixedTypes="1" containsNumber="1" containsInteger="1" minValue="9120000" maxValue="47760000"/>
    </cacheField>
    <cacheField name="Annual Rent (USD)" numFmtId="0">
      <sharedItems containsMixedTypes="1" containsNumber="1" minValue="109221.55688622755" maxValue="571976.04790419154"/>
    </cacheField>
    <cacheField name="Lease Term(Years)" numFmtId="0">
      <sharedItems containsMixedTypes="1" containsNumber="1" containsInteger="1" minValue="1" maxValue="9"/>
    </cacheField>
    <cacheField name="Lease Term" numFmtId="0">
      <sharedItems/>
    </cacheField>
    <cacheField name="Flag of Avg of Total area" numFmtId="0">
      <sharedItems/>
    </cacheField>
    <cacheField name="Rent per sqft" numFmtId="0">
      <sharedItems containsMixedTypes="1" containsNumber="1" minValue="25.19" maxValue="43.62"/>
    </cacheField>
    <cacheField name="Premium Accou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T001"/>
    <s v="Horizon Corporate Suites"/>
    <x v="0"/>
    <x v="0"/>
    <n v="49000"/>
    <s v="Active"/>
    <s v="Pulse Robotics"/>
    <s v="It Services"/>
    <s v="2021-06-01"/>
    <s v="2027-05-31"/>
    <n v="1980000"/>
    <s v="Rajan Mehta"/>
    <n v="23712.574850299403"/>
    <n v="23760000"/>
    <n v="284550.89820359286"/>
    <n v="5"/>
    <s v="Long-Term"/>
    <s v=""/>
    <n v="40.409999999999997"/>
    <s v="Standard"/>
  </r>
  <r>
    <s v="T002"/>
    <s v="Horizon Corporate Suites"/>
    <x v="0"/>
    <x v="0"/>
    <n v="49000"/>
    <s v="Active"/>
    <s v="Pulse Robotics"/>
    <s v="It Services"/>
    <s v="2021-06-01"/>
    <s v="2027-05-31"/>
    <n v="1980000"/>
    <s v="Rajan Mehta"/>
    <n v="23712.574850299403"/>
    <n v="23760000"/>
    <n v="284550.89820359286"/>
    <n v="5"/>
    <s v="Long-Term"/>
    <s v=""/>
    <n v="40.409999999999997"/>
    <s v="Standard"/>
  </r>
  <r>
    <s v="T003"/>
    <s v="Meridian Trade Tower"/>
    <x v="1"/>
    <x v="0"/>
    <n v="73000"/>
    <s v="Active"/>
    <s v="Orbit Financial Services"/>
    <s v="Finance"/>
    <s v="2020-02-10"/>
    <s v="2028-02-09"/>
    <n v="3050000"/>
    <s v="Kavya Rao"/>
    <n v="36526.946107784432"/>
    <n v="36600000"/>
    <n v="438323.35329341318"/>
    <n v="7"/>
    <s v="Long-Term"/>
    <s v="Above Average Size"/>
    <n v="41.78"/>
    <s v="Premium Account"/>
  </r>
  <r>
    <s v="T004"/>
    <s v="Meridian Trade Tower "/>
    <x v="1"/>
    <x v="0"/>
    <n v="73000"/>
    <s v="Active"/>
    <s v="Orbit Financial Services"/>
    <s v="Finance"/>
    <s v="2020-02-10"/>
    <s v="2028-02-09"/>
    <n v="3050000"/>
    <s v="Kavya Rao"/>
    <n v="36526.946107784432"/>
    <n v="36600000"/>
    <n v="438323.35329341318"/>
    <n v="7"/>
    <s v="Long-Term"/>
    <s v="Above Average Size"/>
    <n v="41.78"/>
    <s v="Premium Account"/>
  </r>
  <r>
    <s v="T005"/>
    <s v="Cedar Grove Outlet"/>
    <x v="2"/>
    <x v="1"/>
    <n v="21000"/>
    <s v="Active"/>
    <s v="Coastal Crafts"/>
    <s v="Retail Trade"/>
    <s v="2023-09-01"/>
    <s v="2025-08-31"/>
    <n v="890000"/>
    <m/>
    <n v="10658.68263473054"/>
    <n v="10680000"/>
    <n v="127904.19161676647"/>
    <n v="1"/>
    <s v="Short-Term"/>
    <s v=""/>
    <n v="42.38"/>
    <s v="Standard"/>
  </r>
  <r>
    <s v="T006"/>
    <s v="Cedar Grove Outlet"/>
    <x v="2"/>
    <x v="1"/>
    <n v="21000"/>
    <s v="Active"/>
    <s v="Coastal Crafts"/>
    <s v="Retail Trade"/>
    <s v="2023-09-01"/>
    <s v="2025-08-31"/>
    <n v="890000"/>
    <m/>
    <n v="10658.68263473054"/>
    <n v="10680000"/>
    <n v="127904.19161676647"/>
    <n v="1"/>
    <s v="Short-Term"/>
    <s v=""/>
    <n v="42.38"/>
    <s v="Standard"/>
  </r>
  <r>
    <s v="T007"/>
    <s v="Portside Storage Hub"/>
    <x v="3"/>
    <x v="2"/>
    <n v="158000"/>
    <s v="Active"/>
    <s v="Anchor Freight Co"/>
    <s v="Logistics"/>
    <s v="2019-04-15"/>
    <s v="2029-04-14"/>
    <n v="3980000"/>
    <s v="Imran Sheikh"/>
    <n v="47664.670658682633"/>
    <n v="47760000"/>
    <n v="571976.04790419154"/>
    <n v="9"/>
    <s v="Long-Term"/>
    <s v="Above Average Size"/>
    <n v="25.19"/>
    <s v="Premium Account"/>
  </r>
  <r>
    <s v="T008"/>
    <s v="Portside Storage Hub"/>
    <x v="3"/>
    <x v="2"/>
    <n v="158000"/>
    <s v="Active"/>
    <s v="Anchor Freight Co"/>
    <s v="Logistics"/>
    <s v="2019-04-15"/>
    <s v="2029-04-14"/>
    <n v="3980000"/>
    <s v="Imran Sheikh"/>
    <n v="47664.670658682633"/>
    <n v="47760000"/>
    <n v="571976.04790419154"/>
    <n v="9"/>
    <s v="Long-Term"/>
    <s v="Above Average Size"/>
    <n v="25.19"/>
    <s v="Premium Account"/>
  </r>
  <r>
    <s v="T009"/>
    <s v="Willowbrook IT Park"/>
    <x v="4"/>
    <x v="0"/>
    <n v="51000"/>
    <s v="Active"/>
    <s v="Vertex Cloud Labs"/>
    <s v="It Services"/>
    <s v="2022-11-01"/>
    <s v="2025-10-31"/>
    <n v="2040000"/>
    <s v="Sneha Kulkarni"/>
    <n v="24431.137724550899"/>
    <n v="24480000"/>
    <n v="293173.65269461076"/>
    <n v="2"/>
    <s v="Short-Term"/>
    <s v=""/>
    <n v="40"/>
    <s v="Standard"/>
  </r>
  <r>
    <s v="T010"/>
    <s v="Willowbrook IT Park"/>
    <x v="4"/>
    <x v="0"/>
    <n v="51000"/>
    <s v="Active"/>
    <s v="Vertex Cloud Labs"/>
    <s v="It Services"/>
    <s v="2022-11-01"/>
    <s v="2025-10-31"/>
    <n v="2040000"/>
    <s v="Sneha Kulkarni"/>
    <n v="24431.137724550899"/>
    <n v="24480000"/>
    <n v="293173.65269461076"/>
    <n v="2"/>
    <s v="Short-Term"/>
    <s v=""/>
    <n v="40"/>
    <s v="Standard"/>
  </r>
  <r>
    <s v="T011"/>
    <s v="Clover Street Mall"/>
    <x v="0"/>
    <x v="1"/>
    <n v="33000"/>
    <s v="Active"/>
    <s v="Bloom Boutique"/>
    <s v="Fashion Retail"/>
    <s v="2024-02-01"/>
    <s v="2026-01-31"/>
    <n v="1410000"/>
    <s v="Farhan Ali"/>
    <n v="16886.22754491018"/>
    <n v="16920000"/>
    <n v="202634.73053892216"/>
    <n v="1"/>
    <s v="Short-Term"/>
    <s v=""/>
    <n v="42.73"/>
    <s v="Standard"/>
  </r>
  <r>
    <s v="T012"/>
    <s v="Clover Street Mall"/>
    <x v="0"/>
    <x v="1"/>
    <n v="33000"/>
    <s v="Vacant"/>
    <m/>
    <s v=""/>
    <m/>
    <m/>
    <m/>
    <s v="Farhan Ali"/>
    <s v=""/>
    <s v=""/>
    <s v=""/>
    <s v=""/>
    <s v=""/>
    <s v=""/>
    <s v=""/>
    <s v=""/>
  </r>
  <r>
    <s v="T013"/>
    <s v="Ironbridge Logistics Center"/>
    <x v="5"/>
    <x v="2"/>
    <n v="121000"/>
    <s v="Active"/>
    <s v="Capital Movers"/>
    <s v="Logistics"/>
    <s v="2018-08-20"/>
    <s v="2028-08-19"/>
    <n v="3210000"/>
    <m/>
    <n v="38443.113772455086"/>
    <n v="38520000"/>
    <n v="461317.36526946106"/>
    <n v="9"/>
    <s v="Long-Term"/>
    <s v="Above Average Size"/>
    <n v="26.53"/>
    <s v="Premium Account"/>
  </r>
  <r>
    <s v="T014"/>
    <s v="Ironbridge Logistics Center"/>
    <x v="5"/>
    <x v="2"/>
    <n v="121000"/>
    <s v="Active"/>
    <s v="Capital Movers"/>
    <s v="Logistics"/>
    <s v="2018-08-20"/>
    <s v="2028-08-19"/>
    <n v="3210000"/>
    <m/>
    <n v="38443.113772455086"/>
    <n v="38520000"/>
    <n v="461317.36526946106"/>
    <n v="9"/>
    <s v="Long-Term"/>
    <s v="Above Average Size"/>
    <n v="26.53"/>
    <s v="Premium Account"/>
  </r>
  <r>
    <s v="T015"/>
    <s v="Skyward Business Tower"/>
    <x v="1"/>
    <x v="0"/>
    <n v="66000"/>
    <s v="Active"/>
    <s v="Nova Insurance Group"/>
    <s v="Finance"/>
    <s v="2023-01-15"/>
    <s v="2026-01-14"/>
    <n v="2760000"/>
    <s v="Divya Reddy"/>
    <n v="33053.892215568863"/>
    <n v="33120000"/>
    <n v="396646.70658682636"/>
    <n v="2"/>
    <s v="Short-Term"/>
    <s v=""/>
    <n v="41.82"/>
    <s v="Standard"/>
  </r>
  <r>
    <s v="T016"/>
    <s v="Skyward Business Tower"/>
    <x v="1"/>
    <x v="0"/>
    <n v="66000"/>
    <s v="Active"/>
    <s v="Nova Insurance Group"/>
    <s v="Finance"/>
    <s v="2023-01-15"/>
    <s v="2026-01-14"/>
    <n v="2760000"/>
    <s v="Divya Reddy"/>
    <n v="33053.892215568863"/>
    <n v="33120000"/>
    <n v="396646.70658682636"/>
    <n v="2"/>
    <s v="Short-Term"/>
    <s v=""/>
    <n v="41.82"/>
    <s v="Standard"/>
  </r>
  <r>
    <s v="T017"/>
    <s v="Seabreeze Shopping Court"/>
    <x v="2"/>
    <x v="1"/>
    <n v="17500"/>
    <s v="Active"/>
    <s v="Palm Leaf Eatery"/>
    <s v="Food &amp; Beverage"/>
    <s v="2024-06-01"/>
    <s v="2027-05-31"/>
    <n v="760000"/>
    <s v="Ganesh Pillai"/>
    <n v="9101.7964071856295"/>
    <n v="9120000"/>
    <n v="109221.55688622755"/>
    <n v="2"/>
    <s v="Short-Term"/>
    <s v=""/>
    <n v="43.43"/>
    <s v="Standard"/>
  </r>
  <r>
    <s v="T018"/>
    <s v="Seabreeze Shopping Court"/>
    <x v="2"/>
    <x v="1"/>
    <n v="17500"/>
    <s v="Active"/>
    <s v="Palm Leaf Eatery"/>
    <s v="Food &amp; Beverage"/>
    <s v="2024-06-01"/>
    <s v="2027-05-31"/>
    <n v="760000"/>
    <s v="Ganesh Pillai"/>
    <n v="9101.7964071856295"/>
    <n v="9120000"/>
    <n v="109221.55688622755"/>
    <n v="2"/>
    <s v="Short-Term"/>
    <s v=""/>
    <n v="43.43"/>
    <s v="Standard"/>
  </r>
  <r>
    <s v="T019"/>
    <s v="Maple Ridge Office Complex"/>
    <x v="4"/>
    <x v="0"/>
    <n v="44000"/>
    <s v="Active"/>
    <s v="Ledger &amp; Co Advisory"/>
    <s v="Professional Services"/>
    <s v="2021-05-10"/>
    <s v="2024-05-09"/>
    <n v="1720000"/>
    <m/>
    <n v="20598.802395209579"/>
    <n v="20640000"/>
    <n v="247185.62874251493"/>
    <n v="2"/>
    <s v="Short-Term"/>
    <s v=""/>
    <n v="39.090000000000003"/>
    <s v="Standard"/>
  </r>
  <r>
    <s v="T020"/>
    <s v="Maple Ridge Office Complex"/>
    <x v="4"/>
    <x v="0"/>
    <n v="44000"/>
    <s v="Vacant"/>
    <m/>
    <s v=""/>
    <m/>
    <m/>
    <m/>
    <m/>
    <s v=""/>
    <s v=""/>
    <s v=""/>
    <s v=""/>
    <s v=""/>
    <s v=""/>
    <s v=""/>
    <s v=""/>
  </r>
  <r>
    <s v="T021"/>
    <s v="Harborline Distribution Center"/>
    <x v="3"/>
    <x v="2"/>
    <n v="132000"/>
    <s v="Active"/>
    <s v="Continental Cargo"/>
    <s v="Logistics"/>
    <s v="2022-03-01"/>
    <s v="2030-02-28"/>
    <n v="3420000"/>
    <s v="Priya Nair"/>
    <n v="40958.083832335331"/>
    <n v="41040000"/>
    <n v="491497.00598802394"/>
    <n v="7"/>
    <s v="Long-Term"/>
    <s v="Above Average Size"/>
    <n v="25.91"/>
    <s v="Premium Account"/>
  </r>
  <r>
    <s v="T022"/>
    <s v="Crown Point Plaza"/>
    <x v="5"/>
    <x v="0"/>
    <n v="58000"/>
    <s v="Active"/>
    <s v="Summit Legal Partners"/>
    <s v="Professional Services"/>
    <s v="2020-09-01"/>
    <s v="2026-08-31"/>
    <n v="2530000"/>
    <s v="Anand Verma"/>
    <n v="30299.401197604791"/>
    <n v="30360000"/>
    <n v="363592.8143712575"/>
    <n v="5"/>
    <s v="Long-Term"/>
    <s v=""/>
    <n v="43.62"/>
    <s v="Standard"/>
  </r>
  <r>
    <s v="T023"/>
    <s v="Crown Point Plaza"/>
    <x v="5"/>
    <x v="0"/>
    <n v="58000"/>
    <s v="Active"/>
    <s v="Summit Legal Partners"/>
    <s v="Professional Services"/>
    <s v="2020-09-01"/>
    <s v="2026-08-31"/>
    <n v="2530000"/>
    <s v="Anand Verma"/>
    <n v="30299.401197604791"/>
    <n v="30360000"/>
    <n v="363592.8143712575"/>
    <n v="5"/>
    <s v="Long-Term"/>
    <s v=""/>
    <n v="43.62"/>
    <s v="Stand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1AB78-6D6E-4776-86D6-0B34CDD6BC8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 colHeaderCaption="Property Type">
  <location ref="A3:E11" firstHeaderRow="1" firstDataRow="2" firstDataCol="1"/>
  <pivotFields count="20">
    <pivotField showAll="0"/>
    <pivotField showAll="0"/>
    <pivotField axis="axisRow" showAll="0">
      <items count="7">
        <item x="0"/>
        <item x="2"/>
        <item x="5"/>
        <item x="1"/>
        <item x="3"/>
        <item x="4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Annual Rent (USD)" fld="1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B051-D495-43A3-B00C-3CF6A5E7C3C6}">
  <dimension ref="A1:L24"/>
  <sheetViews>
    <sheetView topLeftCell="A9" zoomScale="70" workbookViewId="0">
      <selection activeCell="G5" sqref="G5"/>
    </sheetView>
  </sheetViews>
  <sheetFormatPr defaultRowHeight="14.5" x14ac:dyDescent="0.35"/>
  <cols>
    <col min="1" max="1" width="8.26953125" bestFit="1" customWidth="1"/>
    <col min="2" max="2" width="25.54296875" bestFit="1" customWidth="1"/>
    <col min="3" max="3" width="9.6328125" bestFit="1" customWidth="1"/>
    <col min="4" max="4" width="8.26953125" bestFit="1" customWidth="1"/>
    <col min="5" max="5" width="6.81640625" bestFit="1" customWidth="1"/>
    <col min="6" max="6" width="6.1796875" bestFit="1" customWidth="1"/>
    <col min="7" max="7" width="20.36328125" bestFit="1" customWidth="1"/>
    <col min="8" max="8" width="18.1796875" bestFit="1" customWidth="1"/>
    <col min="9" max="10" width="10.08984375" bestFit="1" customWidth="1"/>
    <col min="11" max="11" width="7.90625" bestFit="1" customWidth="1"/>
    <col min="12" max="12" width="13.08984375" bestFit="1" customWidth="1"/>
  </cols>
  <sheetData>
    <row r="1" spans="1:12" ht="42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4" t="s">
        <v>12</v>
      </c>
      <c r="B2" s="4" t="s">
        <v>13</v>
      </c>
      <c r="C2" s="4" t="s">
        <v>14</v>
      </c>
      <c r="D2" s="4" t="s">
        <v>15</v>
      </c>
      <c r="E2" s="4">
        <v>49000</v>
      </c>
      <c r="F2" s="4" t="s">
        <v>16</v>
      </c>
      <c r="G2" s="4" t="s">
        <v>17</v>
      </c>
      <c r="H2" s="4" t="s">
        <v>197</v>
      </c>
      <c r="I2" s="4" t="s">
        <v>18</v>
      </c>
      <c r="J2" s="4" t="s">
        <v>19</v>
      </c>
      <c r="K2" s="4">
        <v>1980000</v>
      </c>
      <c r="L2" s="4" t="s">
        <v>20</v>
      </c>
    </row>
    <row r="3" spans="1:12" x14ac:dyDescent="0.35">
      <c r="A3" s="4" t="s">
        <v>21</v>
      </c>
      <c r="B3" s="4" t="s">
        <v>13</v>
      </c>
      <c r="C3" s="4" t="s">
        <v>22</v>
      </c>
      <c r="D3" s="4" t="s">
        <v>15</v>
      </c>
      <c r="E3" s="4">
        <v>49000</v>
      </c>
      <c r="F3" s="4" t="s">
        <v>16</v>
      </c>
      <c r="G3" s="4" t="s">
        <v>17</v>
      </c>
      <c r="H3" s="4" t="s">
        <v>198</v>
      </c>
      <c r="I3" s="4" t="s">
        <v>18</v>
      </c>
      <c r="J3" s="4" t="s">
        <v>19</v>
      </c>
      <c r="K3" s="4">
        <v>1980000</v>
      </c>
      <c r="L3" s="4" t="s">
        <v>20</v>
      </c>
    </row>
    <row r="4" spans="1:12" x14ac:dyDescent="0.35">
      <c r="A4" s="4" t="s">
        <v>23</v>
      </c>
      <c r="B4" s="4" t="s">
        <v>24</v>
      </c>
      <c r="C4" s="4" t="s">
        <v>25</v>
      </c>
      <c r="D4" s="4" t="s">
        <v>15</v>
      </c>
      <c r="E4" s="4">
        <v>73000</v>
      </c>
      <c r="F4" s="4" t="s">
        <v>16</v>
      </c>
      <c r="G4" s="4" t="s">
        <v>26</v>
      </c>
      <c r="H4" s="4" t="s">
        <v>199</v>
      </c>
      <c r="I4" s="4" t="s">
        <v>27</v>
      </c>
      <c r="J4" s="4" t="s">
        <v>28</v>
      </c>
      <c r="K4" s="4">
        <v>3050000</v>
      </c>
      <c r="L4" s="4" t="s">
        <v>29</v>
      </c>
    </row>
    <row r="5" spans="1:12" x14ac:dyDescent="0.35">
      <c r="A5" s="4" t="s">
        <v>30</v>
      </c>
      <c r="B5" s="4" t="s">
        <v>31</v>
      </c>
      <c r="C5" s="4" t="s">
        <v>32</v>
      </c>
      <c r="D5" s="4" t="s">
        <v>33</v>
      </c>
      <c r="E5" s="4">
        <v>73000</v>
      </c>
      <c r="F5" s="4" t="s">
        <v>200</v>
      </c>
      <c r="G5" s="4" t="s">
        <v>26</v>
      </c>
      <c r="H5" s="4" t="s">
        <v>34</v>
      </c>
      <c r="I5" s="4" t="s">
        <v>27</v>
      </c>
      <c r="J5" s="4" t="s">
        <v>28</v>
      </c>
      <c r="K5" s="4">
        <v>3050000</v>
      </c>
      <c r="L5" s="4" t="s">
        <v>29</v>
      </c>
    </row>
    <row r="6" spans="1:12" x14ac:dyDescent="0.35">
      <c r="A6" s="4" t="s">
        <v>35</v>
      </c>
      <c r="B6" s="4" t="s">
        <v>36</v>
      </c>
      <c r="C6" s="4" t="s">
        <v>37</v>
      </c>
      <c r="D6" s="4" t="s">
        <v>38</v>
      </c>
      <c r="E6" s="4">
        <v>21000</v>
      </c>
      <c r="F6" s="4" t="s">
        <v>16</v>
      </c>
      <c r="G6" s="4" t="s">
        <v>39</v>
      </c>
      <c r="H6" s="4" t="s">
        <v>201</v>
      </c>
      <c r="I6" s="4" t="s">
        <v>40</v>
      </c>
      <c r="J6" s="4" t="s">
        <v>41</v>
      </c>
      <c r="K6" s="4">
        <v>890000</v>
      </c>
      <c r="L6" s="4"/>
    </row>
    <row r="7" spans="1:12" x14ac:dyDescent="0.35">
      <c r="A7" s="4" t="s">
        <v>42</v>
      </c>
      <c r="B7" s="4" t="s">
        <v>36</v>
      </c>
      <c r="C7" s="4" t="s">
        <v>43</v>
      </c>
      <c r="D7" s="4" t="s">
        <v>38</v>
      </c>
      <c r="E7" s="4">
        <v>21000</v>
      </c>
      <c r="F7" s="4" t="s">
        <v>16</v>
      </c>
      <c r="G7" s="4" t="s">
        <v>39</v>
      </c>
      <c r="H7" s="4" t="s">
        <v>44</v>
      </c>
      <c r="I7" s="4" t="s">
        <v>40</v>
      </c>
      <c r="J7" s="4" t="s">
        <v>41</v>
      </c>
      <c r="K7" s="4">
        <v>890000</v>
      </c>
      <c r="L7" s="4"/>
    </row>
    <row r="8" spans="1:12" x14ac:dyDescent="0.35">
      <c r="A8" s="4" t="s">
        <v>45</v>
      </c>
      <c r="B8" s="4" t="s">
        <v>46</v>
      </c>
      <c r="C8" s="4" t="s">
        <v>47</v>
      </c>
      <c r="D8" s="4" t="s">
        <v>48</v>
      </c>
      <c r="E8" s="4">
        <v>158000</v>
      </c>
      <c r="F8" s="4" t="s">
        <v>16</v>
      </c>
      <c r="G8" s="4" t="s">
        <v>49</v>
      </c>
      <c r="H8" s="4" t="s">
        <v>202</v>
      </c>
      <c r="I8" s="4" t="s">
        <v>50</v>
      </c>
      <c r="J8" s="4" t="s">
        <v>51</v>
      </c>
      <c r="K8" s="4">
        <v>3980000</v>
      </c>
      <c r="L8" s="4" t="s">
        <v>52</v>
      </c>
    </row>
    <row r="9" spans="1:12" x14ac:dyDescent="0.35">
      <c r="A9" s="4" t="s">
        <v>53</v>
      </c>
      <c r="B9" s="4" t="s">
        <v>46</v>
      </c>
      <c r="C9" s="4" t="s">
        <v>54</v>
      </c>
      <c r="D9" s="4" t="s">
        <v>48</v>
      </c>
      <c r="E9" s="4">
        <v>158000</v>
      </c>
      <c r="F9" s="4" t="s">
        <v>16</v>
      </c>
      <c r="G9" s="4" t="s">
        <v>49</v>
      </c>
      <c r="H9" s="4" t="s">
        <v>55</v>
      </c>
      <c r="I9" s="4" t="s">
        <v>50</v>
      </c>
      <c r="J9" s="4" t="s">
        <v>51</v>
      </c>
      <c r="K9" s="4">
        <v>3980000</v>
      </c>
      <c r="L9" s="4" t="s">
        <v>52</v>
      </c>
    </row>
    <row r="10" spans="1:12" x14ac:dyDescent="0.35">
      <c r="A10" s="4" t="s">
        <v>56</v>
      </c>
      <c r="B10" s="4" t="s">
        <v>57</v>
      </c>
      <c r="C10" s="4" t="s">
        <v>58</v>
      </c>
      <c r="D10" s="4" t="s">
        <v>15</v>
      </c>
      <c r="E10" s="4">
        <v>51000</v>
      </c>
      <c r="F10" s="4" t="s">
        <v>16</v>
      </c>
      <c r="G10" s="4" t="s">
        <v>59</v>
      </c>
      <c r="H10" s="4" t="s">
        <v>197</v>
      </c>
      <c r="I10" s="4" t="s">
        <v>60</v>
      </c>
      <c r="J10" s="4" t="s">
        <v>61</v>
      </c>
      <c r="K10" s="4">
        <v>2040000</v>
      </c>
      <c r="L10" s="4" t="s">
        <v>62</v>
      </c>
    </row>
    <row r="11" spans="1:12" x14ac:dyDescent="0.35">
      <c r="A11" s="4" t="s">
        <v>63</v>
      </c>
      <c r="B11" s="4" t="s">
        <v>57</v>
      </c>
      <c r="C11" s="4" t="s">
        <v>64</v>
      </c>
      <c r="D11" s="4" t="s">
        <v>33</v>
      </c>
      <c r="E11" s="4">
        <v>51000</v>
      </c>
      <c r="F11" s="4" t="s">
        <v>16</v>
      </c>
      <c r="G11" s="4" t="s">
        <v>59</v>
      </c>
      <c r="H11" s="4" t="s">
        <v>198</v>
      </c>
      <c r="I11" s="4" t="s">
        <v>60</v>
      </c>
      <c r="J11" s="4" t="s">
        <v>61</v>
      </c>
      <c r="K11" s="4">
        <v>2040000</v>
      </c>
      <c r="L11" s="4" t="s">
        <v>62</v>
      </c>
    </row>
    <row r="12" spans="1:12" x14ac:dyDescent="0.35">
      <c r="A12" s="4" t="s">
        <v>65</v>
      </c>
      <c r="B12" s="4" t="s">
        <v>66</v>
      </c>
      <c r="C12" s="4" t="s">
        <v>22</v>
      </c>
      <c r="D12" s="4" t="s">
        <v>38</v>
      </c>
      <c r="E12" s="4">
        <v>33000</v>
      </c>
      <c r="F12" s="4" t="s">
        <v>16</v>
      </c>
      <c r="G12" s="4" t="s">
        <v>67</v>
      </c>
      <c r="H12" s="4" t="s">
        <v>203</v>
      </c>
      <c r="I12" s="4" t="s">
        <v>68</v>
      </c>
      <c r="J12" s="4" t="s">
        <v>69</v>
      </c>
      <c r="K12" s="4">
        <v>1410000</v>
      </c>
      <c r="L12" s="4" t="s">
        <v>70</v>
      </c>
    </row>
    <row r="13" spans="1:12" x14ac:dyDescent="0.35">
      <c r="A13" s="4" t="s">
        <v>71</v>
      </c>
      <c r="B13" s="4" t="s">
        <v>66</v>
      </c>
      <c r="C13" s="4" t="s">
        <v>22</v>
      </c>
      <c r="D13" s="4" t="s">
        <v>38</v>
      </c>
      <c r="E13" s="4">
        <v>33000</v>
      </c>
      <c r="F13" s="4" t="s">
        <v>204</v>
      </c>
      <c r="G13" s="4"/>
      <c r="H13" s="4"/>
      <c r="I13" s="4"/>
      <c r="J13" s="4"/>
      <c r="K13" s="4"/>
      <c r="L13" s="4" t="s">
        <v>70</v>
      </c>
    </row>
    <row r="14" spans="1:12" x14ac:dyDescent="0.35">
      <c r="A14" s="4" t="s">
        <v>72</v>
      </c>
      <c r="B14" s="4" t="s">
        <v>73</v>
      </c>
      <c r="C14" s="4" t="s">
        <v>74</v>
      </c>
      <c r="D14" s="4" t="s">
        <v>48</v>
      </c>
      <c r="E14" s="4">
        <v>121000</v>
      </c>
      <c r="F14" s="4" t="s">
        <v>16</v>
      </c>
      <c r="G14" s="4" t="s">
        <v>75</v>
      </c>
      <c r="H14" s="4" t="s">
        <v>202</v>
      </c>
      <c r="I14" s="4" t="s">
        <v>76</v>
      </c>
      <c r="J14" s="4" t="s">
        <v>77</v>
      </c>
      <c r="K14" s="4">
        <v>3210000</v>
      </c>
      <c r="L14" s="4"/>
    </row>
    <row r="15" spans="1:12" x14ac:dyDescent="0.35">
      <c r="A15" s="4" t="s">
        <v>78</v>
      </c>
      <c r="B15" s="4" t="s">
        <v>73</v>
      </c>
      <c r="C15" s="4" t="s">
        <v>79</v>
      </c>
      <c r="D15" s="4" t="s">
        <v>80</v>
      </c>
      <c r="E15" s="4">
        <v>121000</v>
      </c>
      <c r="F15" s="4" t="s">
        <v>16</v>
      </c>
      <c r="G15" s="4" t="s">
        <v>75</v>
      </c>
      <c r="H15" s="4" t="s">
        <v>55</v>
      </c>
      <c r="I15" s="4" t="s">
        <v>76</v>
      </c>
      <c r="J15" s="4" t="s">
        <v>77</v>
      </c>
      <c r="K15" s="4">
        <v>3210000</v>
      </c>
      <c r="L15" s="4"/>
    </row>
    <row r="16" spans="1:12" x14ac:dyDescent="0.35">
      <c r="A16" s="4" t="s">
        <v>81</v>
      </c>
      <c r="B16" s="4" t="s">
        <v>82</v>
      </c>
      <c r="C16" s="4" t="s">
        <v>83</v>
      </c>
      <c r="D16" s="4" t="s">
        <v>15</v>
      </c>
      <c r="E16" s="4">
        <v>66000</v>
      </c>
      <c r="F16" s="4" t="s">
        <v>16</v>
      </c>
      <c r="G16" s="4" t="s">
        <v>84</v>
      </c>
      <c r="H16" s="4" t="s">
        <v>199</v>
      </c>
      <c r="I16" s="4" t="s">
        <v>85</v>
      </c>
      <c r="J16" s="4" t="s">
        <v>86</v>
      </c>
      <c r="K16" s="4">
        <v>2760000</v>
      </c>
      <c r="L16" s="4" t="s">
        <v>87</v>
      </c>
    </row>
    <row r="17" spans="1:12" x14ac:dyDescent="0.35">
      <c r="A17" s="4" t="s">
        <v>88</v>
      </c>
      <c r="B17" s="4" t="s">
        <v>82</v>
      </c>
      <c r="C17" s="4" t="s">
        <v>32</v>
      </c>
      <c r="D17" s="4" t="s">
        <v>15</v>
      </c>
      <c r="E17" s="4">
        <v>66000</v>
      </c>
      <c r="F17" s="4" t="s">
        <v>16</v>
      </c>
      <c r="G17" s="4" t="s">
        <v>84</v>
      </c>
      <c r="H17" s="4" t="s">
        <v>34</v>
      </c>
      <c r="I17" s="4" t="s">
        <v>85</v>
      </c>
      <c r="J17" s="4" t="s">
        <v>86</v>
      </c>
      <c r="K17" s="4">
        <v>2760000</v>
      </c>
      <c r="L17" s="4" t="s">
        <v>87</v>
      </c>
    </row>
    <row r="18" spans="1:12" x14ac:dyDescent="0.35">
      <c r="A18" s="4" t="s">
        <v>89</v>
      </c>
      <c r="B18" s="4" t="s">
        <v>90</v>
      </c>
      <c r="C18" s="4" t="s">
        <v>37</v>
      </c>
      <c r="D18" s="4" t="s">
        <v>38</v>
      </c>
      <c r="E18" s="4">
        <v>17500</v>
      </c>
      <c r="F18" s="4" t="s">
        <v>16</v>
      </c>
      <c r="G18" s="4" t="s">
        <v>91</v>
      </c>
      <c r="H18" s="4" t="s">
        <v>205</v>
      </c>
      <c r="I18" s="4" t="s">
        <v>92</v>
      </c>
      <c r="J18" s="4" t="s">
        <v>19</v>
      </c>
      <c r="K18" s="4">
        <v>760000</v>
      </c>
      <c r="L18" s="4" t="s">
        <v>93</v>
      </c>
    </row>
    <row r="19" spans="1:12" x14ac:dyDescent="0.35">
      <c r="A19" s="4" t="s">
        <v>94</v>
      </c>
      <c r="B19" s="4" t="s">
        <v>90</v>
      </c>
      <c r="C19" s="4" t="s">
        <v>95</v>
      </c>
      <c r="D19" s="4" t="s">
        <v>96</v>
      </c>
      <c r="E19" s="4">
        <v>17500</v>
      </c>
      <c r="F19" s="4" t="s">
        <v>16</v>
      </c>
      <c r="G19" s="4" t="s">
        <v>91</v>
      </c>
      <c r="H19" s="4" t="s">
        <v>97</v>
      </c>
      <c r="I19" s="4" t="s">
        <v>92</v>
      </c>
      <c r="J19" s="4" t="s">
        <v>19</v>
      </c>
      <c r="K19" s="4">
        <v>760000</v>
      </c>
      <c r="L19" s="4" t="s">
        <v>93</v>
      </c>
    </row>
    <row r="20" spans="1:12" x14ac:dyDescent="0.35">
      <c r="A20" s="4" t="s">
        <v>98</v>
      </c>
      <c r="B20" s="4" t="s">
        <v>99</v>
      </c>
      <c r="C20" s="4" t="s">
        <v>58</v>
      </c>
      <c r="D20" s="4" t="s">
        <v>15</v>
      </c>
      <c r="E20" s="4">
        <v>44000</v>
      </c>
      <c r="F20" s="4" t="s">
        <v>16</v>
      </c>
      <c r="G20" s="4" t="s">
        <v>100</v>
      </c>
      <c r="H20" s="4" t="s">
        <v>206</v>
      </c>
      <c r="I20" s="4" t="s">
        <v>101</v>
      </c>
      <c r="J20" s="4" t="s">
        <v>102</v>
      </c>
      <c r="K20" s="4">
        <v>1720000</v>
      </c>
      <c r="L20" s="4"/>
    </row>
    <row r="21" spans="1:12" x14ac:dyDescent="0.35">
      <c r="A21" s="4" t="s">
        <v>103</v>
      </c>
      <c r="B21" s="4" t="s">
        <v>99</v>
      </c>
      <c r="C21" s="4" t="s">
        <v>58</v>
      </c>
      <c r="D21" s="4" t="s">
        <v>15</v>
      </c>
      <c r="E21" s="4">
        <v>44000</v>
      </c>
      <c r="F21" s="4" t="s">
        <v>204</v>
      </c>
      <c r="G21" s="4"/>
      <c r="H21" s="4"/>
      <c r="I21" s="4"/>
      <c r="J21" s="4"/>
      <c r="K21" s="4"/>
      <c r="L21" s="4"/>
    </row>
    <row r="22" spans="1:12" x14ac:dyDescent="0.35">
      <c r="A22" s="4" t="s">
        <v>104</v>
      </c>
      <c r="B22" s="4" t="s">
        <v>105</v>
      </c>
      <c r="C22" s="4" t="s">
        <v>47</v>
      </c>
      <c r="D22" s="4" t="s">
        <v>48</v>
      </c>
      <c r="E22" s="4">
        <v>132000</v>
      </c>
      <c r="F22" s="4" t="s">
        <v>16</v>
      </c>
      <c r="G22" s="4" t="s">
        <v>106</v>
      </c>
      <c r="H22" s="4" t="s">
        <v>202</v>
      </c>
      <c r="I22" s="4" t="s">
        <v>107</v>
      </c>
      <c r="J22" s="4" t="s">
        <v>108</v>
      </c>
      <c r="K22" s="4">
        <v>3420000</v>
      </c>
      <c r="L22" s="4" t="s">
        <v>109</v>
      </c>
    </row>
    <row r="23" spans="1:12" x14ac:dyDescent="0.35">
      <c r="A23" s="4" t="s">
        <v>110</v>
      </c>
      <c r="B23" s="4" t="s">
        <v>111</v>
      </c>
      <c r="C23" s="4" t="s">
        <v>74</v>
      </c>
      <c r="D23" s="4" t="s">
        <v>15</v>
      </c>
      <c r="E23" s="4">
        <v>58000</v>
      </c>
      <c r="F23" s="4" t="s">
        <v>16</v>
      </c>
      <c r="G23" s="4" t="s">
        <v>112</v>
      </c>
      <c r="H23" s="4" t="s">
        <v>206</v>
      </c>
      <c r="I23" s="4" t="s">
        <v>113</v>
      </c>
      <c r="J23" s="4" t="s">
        <v>114</v>
      </c>
      <c r="K23" s="4">
        <v>2530000</v>
      </c>
      <c r="L23" s="4" t="s">
        <v>115</v>
      </c>
    </row>
    <row r="24" spans="1:12" x14ac:dyDescent="0.35">
      <c r="A24" s="4" t="s">
        <v>116</v>
      </c>
      <c r="B24" s="4" t="s">
        <v>111</v>
      </c>
      <c r="C24" s="4" t="s">
        <v>74</v>
      </c>
      <c r="D24" s="4" t="s">
        <v>15</v>
      </c>
      <c r="E24" s="4">
        <v>58000</v>
      </c>
      <c r="F24" s="4" t="s">
        <v>16</v>
      </c>
      <c r="G24" s="4" t="s">
        <v>112</v>
      </c>
      <c r="H24" s="4" t="s">
        <v>117</v>
      </c>
      <c r="I24" s="4" t="s">
        <v>113</v>
      </c>
      <c r="J24" s="4" t="s">
        <v>114</v>
      </c>
      <c r="K24" s="4">
        <v>2530000</v>
      </c>
      <c r="L24" s="4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tabSelected="1" zoomScale="77" zoomScaleNormal="71" workbookViewId="0">
      <pane ySplit="1" topLeftCell="A2" activePane="bottomLeft" state="frozen"/>
      <selection pane="bottomLeft" activeCell="B38" sqref="B38"/>
    </sheetView>
  </sheetViews>
  <sheetFormatPr defaultColWidth="8.6328125" defaultRowHeight="14.5" x14ac:dyDescent="0.35"/>
  <cols>
    <col min="1" max="1" width="14.36328125" customWidth="1"/>
    <col min="2" max="2" width="27" customWidth="1"/>
    <col min="3" max="4" width="14" customWidth="1"/>
    <col min="5" max="5" width="12" customWidth="1"/>
    <col min="6" max="6" width="15" customWidth="1"/>
    <col min="7" max="7" width="12" customWidth="1"/>
    <col min="8" max="8" width="22" customWidth="1"/>
    <col min="9" max="9" width="20" customWidth="1"/>
    <col min="10" max="11" width="14" style="23" customWidth="1"/>
    <col min="12" max="12" width="14" customWidth="1"/>
    <col min="13" max="13" width="16" customWidth="1"/>
    <col min="14" max="14" width="9.81640625" bestFit="1" customWidth="1"/>
    <col min="15" max="15" width="12.90625" customWidth="1"/>
    <col min="16" max="16" width="11.08984375" customWidth="1"/>
    <col min="17" max="18" width="13.08984375" customWidth="1"/>
    <col min="19" max="19" width="17.08984375" bestFit="1" customWidth="1"/>
    <col min="20" max="20" width="15.90625" bestFit="1" customWidth="1"/>
    <col min="21" max="21" width="15.6328125" bestFit="1" customWidth="1"/>
  </cols>
  <sheetData>
    <row r="1" spans="1:21" ht="42.5" x14ac:dyDescent="0.35">
      <c r="A1" s="3" t="s">
        <v>0</v>
      </c>
      <c r="B1" s="3" t="s">
        <v>1</v>
      </c>
      <c r="C1" s="12" t="s">
        <v>2</v>
      </c>
      <c r="D1" s="1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1" t="s">
        <v>8</v>
      </c>
      <c r="J1" s="21" t="s">
        <v>9</v>
      </c>
      <c r="K1" s="3" t="s">
        <v>10</v>
      </c>
      <c r="L1" s="3" t="s">
        <v>11</v>
      </c>
      <c r="M1" s="3" t="s">
        <v>178</v>
      </c>
      <c r="N1" s="3" t="s">
        <v>151</v>
      </c>
      <c r="O1" s="3" t="s">
        <v>152</v>
      </c>
      <c r="P1" s="3" t="s">
        <v>179</v>
      </c>
      <c r="Q1" s="12" t="s">
        <v>194</v>
      </c>
      <c r="R1" s="12" t="s">
        <v>181</v>
      </c>
      <c r="S1" s="12" t="s">
        <v>189</v>
      </c>
      <c r="T1" s="12" t="s">
        <v>156</v>
      </c>
      <c r="U1" s="12" t="s">
        <v>207</v>
      </c>
    </row>
    <row r="2" spans="1:21" x14ac:dyDescent="0.35">
      <c r="A2" s="4" t="s">
        <v>12</v>
      </c>
      <c r="B2" s="4" t="s">
        <v>13</v>
      </c>
      <c r="C2" s="14" t="s">
        <v>22</v>
      </c>
      <c r="D2" s="14" t="s">
        <v>15</v>
      </c>
      <c r="E2" s="4">
        <v>49000</v>
      </c>
      <c r="F2" s="4" t="s">
        <v>16</v>
      </c>
      <c r="G2" s="4" t="s">
        <v>17</v>
      </c>
      <c r="H2" s="4" t="s">
        <v>165</v>
      </c>
      <c r="I2" s="22" t="s">
        <v>18</v>
      </c>
      <c r="J2" s="22" t="s">
        <v>19</v>
      </c>
      <c r="K2" s="4">
        <v>1980000</v>
      </c>
      <c r="L2" s="4" t="s">
        <v>20</v>
      </c>
      <c r="M2">
        <f>IF(F2&lt;&gt;"Active","",K2/'FX Rate Table'!$B$2)</f>
        <v>23712.574850299403</v>
      </c>
      <c r="N2">
        <f>IF(F2&lt;&gt;"Active","",K2*12)</f>
        <v>23760000</v>
      </c>
      <c r="O2">
        <f>IF(F2&lt;&gt;"Active","",M2*12)</f>
        <v>284550.89820359286</v>
      </c>
      <c r="P2">
        <f>IF(F2="Active",DATEDIF(I2,J2,"y"),"")</f>
        <v>5</v>
      </c>
      <c r="Q2" t="str">
        <f>IF(F2="Active",_xlfn.IFS(P2&lt;3,"Short-Term",P2&gt;=3,"Long-Term"),"")</f>
        <v>Long-Term</v>
      </c>
      <c r="R2" t="str">
        <f>IF(AND(F2="Active",E2&gt;$B$30),"Above Average Size","")</f>
        <v/>
      </c>
      <c r="S2">
        <f>IF(F2="Active",ROUND(K2/E2,2),"")</f>
        <v>40.409999999999997</v>
      </c>
      <c r="T2" t="str">
        <f>_xlfn.IFS(AND(F2="Active",K2&gt;=_xlfn.PERCENTILE.INC($K$2:$K$24,75%)),"Premium Account",F2="Vacant","",AND(F2="Active",K2&lt;_xlfn.PERCENTILE.INC($K$2:$K$24,75%)),"Standard")</f>
        <v>Standard</v>
      </c>
      <c r="U2">
        <f>IF(F2="Active",YEAR(I2),"")</f>
        <v>2021</v>
      </c>
    </row>
    <row r="3" spans="1:21" x14ac:dyDescent="0.35">
      <c r="A3" s="4" t="s">
        <v>21</v>
      </c>
      <c r="B3" s="4" t="s">
        <v>13</v>
      </c>
      <c r="C3" s="14" t="s">
        <v>22</v>
      </c>
      <c r="D3" s="14" t="s">
        <v>15</v>
      </c>
      <c r="E3" s="4">
        <v>49000</v>
      </c>
      <c r="F3" s="4" t="s">
        <v>16</v>
      </c>
      <c r="G3" s="4" t="s">
        <v>17</v>
      </c>
      <c r="H3" s="4" t="s">
        <v>165</v>
      </c>
      <c r="I3" s="22" t="s">
        <v>18</v>
      </c>
      <c r="J3" s="22" t="s">
        <v>19</v>
      </c>
      <c r="K3" s="4">
        <v>1980000</v>
      </c>
      <c r="L3" s="4" t="s">
        <v>20</v>
      </c>
      <c r="M3">
        <f>IF(F3&lt;&gt;"Active","",K3/'FX Rate Table'!$B$2)</f>
        <v>23712.574850299403</v>
      </c>
      <c r="N3">
        <f t="shared" ref="N3:N24" si="0">IF(F3&lt;&gt;"Active","",K3*12)</f>
        <v>23760000</v>
      </c>
      <c r="O3">
        <f t="shared" ref="O3:O24" si="1">IF(F3&lt;&gt;"Active","",M3*12)</f>
        <v>284550.89820359286</v>
      </c>
      <c r="P3">
        <f t="shared" ref="P3:Q33" si="2">IF(F3="Active",DATEDIF(I3,J3,"y"),"")</f>
        <v>5</v>
      </c>
      <c r="Q3" t="str">
        <f t="shared" ref="Q3:Q24" si="3">IF(F3="Active",_xlfn.IFS(P3&lt;3,"Short-Term",P3&gt;=3,"Long-Term"),"")</f>
        <v>Long-Term</v>
      </c>
      <c r="R3" t="str">
        <f t="shared" ref="R3:R42" si="4">IF(AND(F3="Active",E3&gt;$B$30),"Above Average Size","")</f>
        <v/>
      </c>
      <c r="S3">
        <f t="shared" ref="S3:S24" si="5">IF(F3="Active",ROUND(K3/E3,2),"")</f>
        <v>40.409999999999997</v>
      </c>
      <c r="T3" t="str">
        <f t="shared" ref="T3:T24" si="6">_xlfn.IFS(AND(F3="Active",K3&gt;=_xlfn.PERCENTILE.INC($K$2:$K$24,75%)),"Premium Account",F3="Vacant","",AND(F3="Active",K3&lt;_xlfn.PERCENTILE.INC($K$2:$K$24,75%)),"Standard")</f>
        <v>Standard</v>
      </c>
      <c r="U3">
        <f t="shared" ref="U3:U42" si="7">IF(F3="Active",YEAR(I3),"")</f>
        <v>2021</v>
      </c>
    </row>
    <row r="4" spans="1:21" x14ac:dyDescent="0.35">
      <c r="A4" s="4" t="s">
        <v>23</v>
      </c>
      <c r="B4" s="4" t="s">
        <v>24</v>
      </c>
      <c r="C4" s="14" t="s">
        <v>32</v>
      </c>
      <c r="D4" s="14" t="s">
        <v>15</v>
      </c>
      <c r="E4" s="4">
        <v>73000</v>
      </c>
      <c r="F4" s="4" t="s">
        <v>16</v>
      </c>
      <c r="G4" s="4" t="s">
        <v>26</v>
      </c>
      <c r="H4" s="4" t="s">
        <v>34</v>
      </c>
      <c r="I4" s="22" t="s">
        <v>27</v>
      </c>
      <c r="J4" s="22" t="s">
        <v>28</v>
      </c>
      <c r="K4" s="4">
        <v>3050000</v>
      </c>
      <c r="L4" s="4" t="s">
        <v>29</v>
      </c>
      <c r="M4">
        <f>IF(F4&lt;&gt;"Active","",K4/'FX Rate Table'!$B$2)</f>
        <v>36526.946107784432</v>
      </c>
      <c r="N4">
        <f t="shared" si="0"/>
        <v>36600000</v>
      </c>
      <c r="O4">
        <f t="shared" si="1"/>
        <v>438323.35329341318</v>
      </c>
      <c r="P4">
        <f t="shared" si="2"/>
        <v>7</v>
      </c>
      <c r="Q4" t="str">
        <f t="shared" si="3"/>
        <v>Long-Term</v>
      </c>
      <c r="R4" t="str">
        <f t="shared" si="4"/>
        <v>Above Average Size</v>
      </c>
      <c r="S4">
        <f t="shared" si="5"/>
        <v>41.78</v>
      </c>
      <c r="T4" t="str">
        <f t="shared" si="6"/>
        <v>Premium Account</v>
      </c>
      <c r="U4">
        <f t="shared" si="7"/>
        <v>2020</v>
      </c>
    </row>
    <row r="5" spans="1:21" x14ac:dyDescent="0.35">
      <c r="A5" s="4" t="s">
        <v>30</v>
      </c>
      <c r="B5" s="4" t="s">
        <v>31</v>
      </c>
      <c r="C5" s="14" t="s">
        <v>32</v>
      </c>
      <c r="D5" s="14" t="s">
        <v>15</v>
      </c>
      <c r="E5" s="4">
        <v>73000</v>
      </c>
      <c r="F5" s="4" t="s">
        <v>16</v>
      </c>
      <c r="G5" s="4" t="s">
        <v>26</v>
      </c>
      <c r="H5" s="4" t="s">
        <v>34</v>
      </c>
      <c r="I5" s="22" t="s">
        <v>27</v>
      </c>
      <c r="J5" s="22" t="s">
        <v>28</v>
      </c>
      <c r="K5" s="4">
        <v>3050000</v>
      </c>
      <c r="L5" s="4" t="s">
        <v>29</v>
      </c>
      <c r="M5">
        <f>IF(F5&lt;&gt;"Active","",K5/'FX Rate Table'!$B$2)</f>
        <v>36526.946107784432</v>
      </c>
      <c r="N5">
        <f t="shared" si="0"/>
        <v>36600000</v>
      </c>
      <c r="O5">
        <f t="shared" si="1"/>
        <v>438323.35329341318</v>
      </c>
      <c r="P5">
        <f t="shared" si="2"/>
        <v>7</v>
      </c>
      <c r="Q5" t="str">
        <f t="shared" si="3"/>
        <v>Long-Term</v>
      </c>
      <c r="R5" t="str">
        <f t="shared" si="4"/>
        <v>Above Average Size</v>
      </c>
      <c r="S5">
        <f t="shared" si="5"/>
        <v>41.78</v>
      </c>
      <c r="T5" t="str">
        <f t="shared" si="6"/>
        <v>Premium Account</v>
      </c>
      <c r="U5">
        <f t="shared" si="7"/>
        <v>2020</v>
      </c>
    </row>
    <row r="6" spans="1:21" x14ac:dyDescent="0.35">
      <c r="A6" s="4" t="s">
        <v>35</v>
      </c>
      <c r="B6" s="4" t="s">
        <v>36</v>
      </c>
      <c r="C6" s="14" t="s">
        <v>37</v>
      </c>
      <c r="D6" s="14" t="s">
        <v>38</v>
      </c>
      <c r="E6" s="4">
        <v>21000</v>
      </c>
      <c r="F6" s="4" t="s">
        <v>16</v>
      </c>
      <c r="G6" s="4" t="s">
        <v>39</v>
      </c>
      <c r="H6" s="4" t="s">
        <v>44</v>
      </c>
      <c r="I6" s="22" t="s">
        <v>40</v>
      </c>
      <c r="J6" s="22" t="s">
        <v>41</v>
      </c>
      <c r="K6" s="4">
        <v>890000</v>
      </c>
      <c r="L6" s="4"/>
      <c r="M6">
        <f>IF(F6&lt;&gt;"Active","",K6/'FX Rate Table'!$B$2)</f>
        <v>10658.68263473054</v>
      </c>
      <c r="N6">
        <f t="shared" si="0"/>
        <v>10680000</v>
      </c>
      <c r="O6">
        <f t="shared" si="1"/>
        <v>127904.19161676647</v>
      </c>
      <c r="P6">
        <f t="shared" si="2"/>
        <v>1</v>
      </c>
      <c r="Q6" t="str">
        <f t="shared" si="3"/>
        <v>Short-Term</v>
      </c>
      <c r="R6" t="str">
        <f t="shared" si="4"/>
        <v/>
      </c>
      <c r="S6">
        <f t="shared" si="5"/>
        <v>42.38</v>
      </c>
      <c r="T6" t="str">
        <f t="shared" si="6"/>
        <v>Standard</v>
      </c>
      <c r="U6">
        <f t="shared" si="7"/>
        <v>2023</v>
      </c>
    </row>
    <row r="7" spans="1:21" x14ac:dyDescent="0.35">
      <c r="A7" s="4" t="s">
        <v>42</v>
      </c>
      <c r="B7" s="4" t="s">
        <v>36</v>
      </c>
      <c r="C7" s="14" t="s">
        <v>37</v>
      </c>
      <c r="D7" s="14" t="s">
        <v>38</v>
      </c>
      <c r="E7" s="4">
        <v>21000</v>
      </c>
      <c r="F7" s="4" t="s">
        <v>16</v>
      </c>
      <c r="G7" s="4" t="s">
        <v>39</v>
      </c>
      <c r="H7" s="4" t="s">
        <v>44</v>
      </c>
      <c r="I7" s="22" t="s">
        <v>40</v>
      </c>
      <c r="J7" s="22" t="s">
        <v>41</v>
      </c>
      <c r="K7" s="4">
        <v>890000</v>
      </c>
      <c r="L7" s="4"/>
      <c r="M7">
        <f>IF(F7&lt;&gt;"Active","",K7/'FX Rate Table'!$B$2)</f>
        <v>10658.68263473054</v>
      </c>
      <c r="N7">
        <f t="shared" si="0"/>
        <v>10680000</v>
      </c>
      <c r="O7">
        <f t="shared" si="1"/>
        <v>127904.19161676647</v>
      </c>
      <c r="P7">
        <f t="shared" si="2"/>
        <v>1</v>
      </c>
      <c r="Q7" t="str">
        <f t="shared" si="3"/>
        <v>Short-Term</v>
      </c>
      <c r="R7" t="str">
        <f t="shared" si="4"/>
        <v/>
      </c>
      <c r="S7">
        <f t="shared" si="5"/>
        <v>42.38</v>
      </c>
      <c r="T7" t="str">
        <f t="shared" si="6"/>
        <v>Standard</v>
      </c>
      <c r="U7">
        <f t="shared" si="7"/>
        <v>2023</v>
      </c>
    </row>
    <row r="8" spans="1:21" x14ac:dyDescent="0.35">
      <c r="A8" s="4" t="s">
        <v>45</v>
      </c>
      <c r="B8" s="4" t="s">
        <v>46</v>
      </c>
      <c r="C8" s="14" t="s">
        <v>47</v>
      </c>
      <c r="D8" s="14" t="s">
        <v>48</v>
      </c>
      <c r="E8" s="4">
        <v>158000</v>
      </c>
      <c r="F8" s="4" t="s">
        <v>16</v>
      </c>
      <c r="G8" s="4" t="s">
        <v>49</v>
      </c>
      <c r="H8" s="4" t="s">
        <v>55</v>
      </c>
      <c r="I8" s="22" t="s">
        <v>50</v>
      </c>
      <c r="J8" s="22" t="s">
        <v>51</v>
      </c>
      <c r="K8" s="4">
        <v>3980000</v>
      </c>
      <c r="L8" s="4" t="s">
        <v>52</v>
      </c>
      <c r="M8">
        <f>IF(F8&lt;&gt;"Active","",K8/'FX Rate Table'!$B$2)</f>
        <v>47664.670658682633</v>
      </c>
      <c r="N8">
        <f t="shared" si="0"/>
        <v>47760000</v>
      </c>
      <c r="O8">
        <f t="shared" si="1"/>
        <v>571976.04790419154</v>
      </c>
      <c r="P8">
        <f t="shared" si="2"/>
        <v>9</v>
      </c>
      <c r="Q8" t="str">
        <f t="shared" si="3"/>
        <v>Long-Term</v>
      </c>
      <c r="R8" t="str">
        <f t="shared" si="4"/>
        <v>Above Average Size</v>
      </c>
      <c r="S8">
        <f t="shared" si="5"/>
        <v>25.19</v>
      </c>
      <c r="T8" t="str">
        <f t="shared" si="6"/>
        <v>Premium Account</v>
      </c>
      <c r="U8">
        <f t="shared" si="7"/>
        <v>2019</v>
      </c>
    </row>
    <row r="9" spans="1:21" x14ac:dyDescent="0.35">
      <c r="A9" s="4" t="s">
        <v>53</v>
      </c>
      <c r="B9" s="4" t="s">
        <v>46</v>
      </c>
      <c r="C9" s="14" t="s">
        <v>47</v>
      </c>
      <c r="D9" s="14" t="s">
        <v>48</v>
      </c>
      <c r="E9" s="4">
        <v>158000</v>
      </c>
      <c r="F9" s="4" t="s">
        <v>16</v>
      </c>
      <c r="G9" s="4" t="s">
        <v>49</v>
      </c>
      <c r="H9" s="4" t="s">
        <v>55</v>
      </c>
      <c r="I9" s="22" t="s">
        <v>50</v>
      </c>
      <c r="J9" s="22" t="s">
        <v>51</v>
      </c>
      <c r="K9" s="4">
        <v>3980000</v>
      </c>
      <c r="L9" s="4" t="s">
        <v>52</v>
      </c>
      <c r="M9">
        <f>IF(F9&lt;&gt;"Active","",K9/'FX Rate Table'!$B$2)</f>
        <v>47664.670658682633</v>
      </c>
      <c r="N9">
        <f t="shared" si="0"/>
        <v>47760000</v>
      </c>
      <c r="O9">
        <f t="shared" si="1"/>
        <v>571976.04790419154</v>
      </c>
      <c r="P9">
        <f t="shared" si="2"/>
        <v>9</v>
      </c>
      <c r="Q9" t="str">
        <f t="shared" si="3"/>
        <v>Long-Term</v>
      </c>
      <c r="R9" t="str">
        <f t="shared" si="4"/>
        <v>Above Average Size</v>
      </c>
      <c r="S9">
        <f t="shared" si="5"/>
        <v>25.19</v>
      </c>
      <c r="T9" t="str">
        <f t="shared" si="6"/>
        <v>Premium Account</v>
      </c>
      <c r="U9">
        <f t="shared" si="7"/>
        <v>2019</v>
      </c>
    </row>
    <row r="10" spans="1:21" x14ac:dyDescent="0.35">
      <c r="A10" s="4" t="s">
        <v>56</v>
      </c>
      <c r="B10" s="4" t="s">
        <v>57</v>
      </c>
      <c r="C10" s="14" t="s">
        <v>58</v>
      </c>
      <c r="D10" s="14" t="s">
        <v>15</v>
      </c>
      <c r="E10" s="4">
        <v>51000</v>
      </c>
      <c r="F10" s="4" t="s">
        <v>16</v>
      </c>
      <c r="G10" s="4" t="s">
        <v>59</v>
      </c>
      <c r="H10" s="4" t="s">
        <v>165</v>
      </c>
      <c r="I10" s="22" t="s">
        <v>60</v>
      </c>
      <c r="J10" s="22" t="s">
        <v>61</v>
      </c>
      <c r="K10" s="4">
        <v>2040000</v>
      </c>
      <c r="L10" s="4" t="s">
        <v>62</v>
      </c>
      <c r="M10">
        <f>IF(F10&lt;&gt;"Active","",K10/'FX Rate Table'!$B$2)</f>
        <v>24431.137724550899</v>
      </c>
      <c r="N10">
        <f t="shared" si="0"/>
        <v>24480000</v>
      </c>
      <c r="O10">
        <f t="shared" si="1"/>
        <v>293173.65269461076</v>
      </c>
      <c r="P10">
        <f t="shared" si="2"/>
        <v>2</v>
      </c>
      <c r="Q10" t="str">
        <f t="shared" si="3"/>
        <v>Short-Term</v>
      </c>
      <c r="R10" t="str">
        <f t="shared" si="4"/>
        <v/>
      </c>
      <c r="S10">
        <f t="shared" si="5"/>
        <v>40</v>
      </c>
      <c r="T10" t="str">
        <f t="shared" si="6"/>
        <v>Standard</v>
      </c>
      <c r="U10">
        <f t="shared" si="7"/>
        <v>2022</v>
      </c>
    </row>
    <row r="11" spans="1:21" x14ac:dyDescent="0.35">
      <c r="A11" s="4" t="s">
        <v>63</v>
      </c>
      <c r="B11" s="4" t="s">
        <v>57</v>
      </c>
      <c r="C11" s="14" t="s">
        <v>58</v>
      </c>
      <c r="D11" s="14" t="s">
        <v>15</v>
      </c>
      <c r="E11" s="4">
        <v>51000</v>
      </c>
      <c r="F11" s="4" t="s">
        <v>16</v>
      </c>
      <c r="G11" s="4" t="s">
        <v>59</v>
      </c>
      <c r="H11" s="4" t="s">
        <v>165</v>
      </c>
      <c r="I11" s="22" t="s">
        <v>60</v>
      </c>
      <c r="J11" s="22" t="s">
        <v>61</v>
      </c>
      <c r="K11" s="4">
        <v>2040000</v>
      </c>
      <c r="L11" s="4" t="s">
        <v>62</v>
      </c>
      <c r="M11">
        <f>IF(F11&lt;&gt;"Active","",K11/'FX Rate Table'!$B$2)</f>
        <v>24431.137724550899</v>
      </c>
      <c r="N11">
        <f t="shared" si="0"/>
        <v>24480000</v>
      </c>
      <c r="O11">
        <f t="shared" si="1"/>
        <v>293173.65269461076</v>
      </c>
      <c r="P11">
        <f t="shared" si="2"/>
        <v>2</v>
      </c>
      <c r="Q11" t="str">
        <f t="shared" si="3"/>
        <v>Short-Term</v>
      </c>
      <c r="R11" t="str">
        <f t="shared" si="4"/>
        <v/>
      </c>
      <c r="S11">
        <f t="shared" si="5"/>
        <v>40</v>
      </c>
      <c r="T11" t="str">
        <f t="shared" si="6"/>
        <v>Standard</v>
      </c>
      <c r="U11">
        <f t="shared" si="7"/>
        <v>2022</v>
      </c>
    </row>
    <row r="12" spans="1:21" x14ac:dyDescent="0.35">
      <c r="A12" s="4" t="s">
        <v>65</v>
      </c>
      <c r="B12" s="4" t="s">
        <v>66</v>
      </c>
      <c r="C12" s="14" t="s">
        <v>22</v>
      </c>
      <c r="D12" s="14" t="s">
        <v>38</v>
      </c>
      <c r="E12" s="4">
        <v>33000</v>
      </c>
      <c r="F12" s="4" t="s">
        <v>16</v>
      </c>
      <c r="G12" s="4" t="s">
        <v>67</v>
      </c>
      <c r="H12" s="4" t="s">
        <v>166</v>
      </c>
      <c r="I12" s="22" t="s">
        <v>68</v>
      </c>
      <c r="J12" s="22" t="s">
        <v>69</v>
      </c>
      <c r="K12" s="4">
        <v>1410000</v>
      </c>
      <c r="L12" s="4" t="s">
        <v>70</v>
      </c>
      <c r="M12">
        <f>IF(F12&lt;&gt;"Active","",K12/'FX Rate Table'!$B$2)</f>
        <v>16886.22754491018</v>
      </c>
      <c r="N12">
        <f t="shared" si="0"/>
        <v>16920000</v>
      </c>
      <c r="O12">
        <f t="shared" si="1"/>
        <v>202634.73053892216</v>
      </c>
      <c r="P12">
        <f t="shared" si="2"/>
        <v>1</v>
      </c>
      <c r="Q12" t="str">
        <f t="shared" si="3"/>
        <v>Short-Term</v>
      </c>
      <c r="R12" t="str">
        <f t="shared" si="4"/>
        <v/>
      </c>
      <c r="S12">
        <f t="shared" si="5"/>
        <v>42.73</v>
      </c>
      <c r="T12" t="str">
        <f t="shared" si="6"/>
        <v>Standard</v>
      </c>
      <c r="U12">
        <f t="shared" si="7"/>
        <v>2024</v>
      </c>
    </row>
    <row r="13" spans="1:21" x14ac:dyDescent="0.35">
      <c r="A13" s="4" t="s">
        <v>71</v>
      </c>
      <c r="B13" s="4" t="s">
        <v>66</v>
      </c>
      <c r="C13" s="14" t="s">
        <v>22</v>
      </c>
      <c r="D13" s="14" t="s">
        <v>38</v>
      </c>
      <c r="E13" s="4">
        <v>33000</v>
      </c>
      <c r="F13" s="4" t="s">
        <v>175</v>
      </c>
      <c r="G13" s="4"/>
      <c r="H13" s="4" t="s">
        <v>176</v>
      </c>
      <c r="I13" s="22"/>
      <c r="J13" s="22"/>
      <c r="K13" s="4"/>
      <c r="L13" s="4" t="s">
        <v>70</v>
      </c>
      <c r="M13" t="str">
        <f>IF(F13&lt;&gt;"Active","",K13/'FX Rate Table'!$B$2)</f>
        <v/>
      </c>
      <c r="N13" t="str">
        <f t="shared" si="0"/>
        <v/>
      </c>
      <c r="O13" t="str">
        <f t="shared" si="1"/>
        <v/>
      </c>
      <c r="P13" t="str">
        <f t="shared" si="2"/>
        <v/>
      </c>
      <c r="Q13" t="str">
        <f t="shared" si="3"/>
        <v/>
      </c>
      <c r="R13" t="str">
        <f t="shared" si="4"/>
        <v/>
      </c>
      <c r="S13" t="str">
        <f t="shared" si="5"/>
        <v/>
      </c>
      <c r="T13" t="str">
        <f t="shared" si="6"/>
        <v/>
      </c>
      <c r="U13" t="str">
        <f t="shared" si="7"/>
        <v/>
      </c>
    </row>
    <row r="14" spans="1:21" x14ac:dyDescent="0.35">
      <c r="A14" s="4" t="s">
        <v>72</v>
      </c>
      <c r="B14" s="4" t="s">
        <v>73</v>
      </c>
      <c r="C14" s="14" t="s">
        <v>74</v>
      </c>
      <c r="D14" s="14" t="s">
        <v>48</v>
      </c>
      <c r="E14" s="4">
        <v>121000</v>
      </c>
      <c r="F14" s="4" t="s">
        <v>16</v>
      </c>
      <c r="G14" s="4" t="s">
        <v>75</v>
      </c>
      <c r="H14" s="4" t="s">
        <v>55</v>
      </c>
      <c r="I14" s="22" t="s">
        <v>76</v>
      </c>
      <c r="J14" s="22" t="s">
        <v>77</v>
      </c>
      <c r="K14" s="4">
        <v>3210000</v>
      </c>
      <c r="L14" s="4"/>
      <c r="M14">
        <f>IF(F14&lt;&gt;"Active","",K14/'FX Rate Table'!$B$2)</f>
        <v>38443.113772455086</v>
      </c>
      <c r="N14">
        <f t="shared" si="0"/>
        <v>38520000</v>
      </c>
      <c r="O14">
        <f t="shared" si="1"/>
        <v>461317.36526946106</v>
      </c>
      <c r="P14">
        <f t="shared" si="2"/>
        <v>9</v>
      </c>
      <c r="Q14" t="str">
        <f t="shared" si="3"/>
        <v>Long-Term</v>
      </c>
      <c r="R14" t="str">
        <f t="shared" si="4"/>
        <v>Above Average Size</v>
      </c>
      <c r="S14">
        <f t="shared" si="5"/>
        <v>26.53</v>
      </c>
      <c r="T14" t="str">
        <f t="shared" si="6"/>
        <v>Premium Account</v>
      </c>
      <c r="U14">
        <f t="shared" si="7"/>
        <v>2018</v>
      </c>
    </row>
    <row r="15" spans="1:21" x14ac:dyDescent="0.35">
      <c r="A15" s="4" t="s">
        <v>78</v>
      </c>
      <c r="B15" s="4" t="s">
        <v>73</v>
      </c>
      <c r="C15" s="14" t="s">
        <v>74</v>
      </c>
      <c r="D15" s="14" t="s">
        <v>48</v>
      </c>
      <c r="E15" s="4">
        <v>121000</v>
      </c>
      <c r="F15" s="4" t="s">
        <v>16</v>
      </c>
      <c r="G15" s="4" t="s">
        <v>75</v>
      </c>
      <c r="H15" s="4" t="s">
        <v>55</v>
      </c>
      <c r="I15" s="22" t="s">
        <v>76</v>
      </c>
      <c r="J15" s="22" t="s">
        <v>77</v>
      </c>
      <c r="K15" s="4">
        <v>3210000</v>
      </c>
      <c r="L15" s="4"/>
      <c r="M15">
        <f>IF(F15&lt;&gt;"Active","",K15/'FX Rate Table'!$B$2)</f>
        <v>38443.113772455086</v>
      </c>
      <c r="N15">
        <f t="shared" si="0"/>
        <v>38520000</v>
      </c>
      <c r="O15">
        <f t="shared" si="1"/>
        <v>461317.36526946106</v>
      </c>
      <c r="P15">
        <f t="shared" si="2"/>
        <v>9</v>
      </c>
      <c r="Q15" t="str">
        <f t="shared" si="3"/>
        <v>Long-Term</v>
      </c>
      <c r="R15" t="str">
        <f t="shared" si="4"/>
        <v>Above Average Size</v>
      </c>
      <c r="S15">
        <f t="shared" si="5"/>
        <v>26.53</v>
      </c>
      <c r="T15" t="str">
        <f t="shared" si="6"/>
        <v>Premium Account</v>
      </c>
      <c r="U15">
        <f t="shared" si="7"/>
        <v>2018</v>
      </c>
    </row>
    <row r="16" spans="1:21" x14ac:dyDescent="0.35">
      <c r="A16" s="4" t="s">
        <v>81</v>
      </c>
      <c r="B16" s="4" t="s">
        <v>82</v>
      </c>
      <c r="C16" s="14" t="s">
        <v>32</v>
      </c>
      <c r="D16" s="14" t="s">
        <v>15</v>
      </c>
      <c r="E16" s="4">
        <v>66000</v>
      </c>
      <c r="F16" s="4" t="s">
        <v>16</v>
      </c>
      <c r="G16" s="4" t="s">
        <v>84</v>
      </c>
      <c r="H16" s="4" t="s">
        <v>34</v>
      </c>
      <c r="I16" s="22" t="s">
        <v>85</v>
      </c>
      <c r="J16" s="22" t="s">
        <v>86</v>
      </c>
      <c r="K16" s="4">
        <v>2760000</v>
      </c>
      <c r="L16" s="4" t="s">
        <v>87</v>
      </c>
      <c r="M16">
        <f>IF(F16&lt;&gt;"Active","",K16/'FX Rate Table'!$B$2)</f>
        <v>33053.892215568863</v>
      </c>
      <c r="N16">
        <f t="shared" si="0"/>
        <v>33120000</v>
      </c>
      <c r="O16">
        <f t="shared" si="1"/>
        <v>396646.70658682636</v>
      </c>
      <c r="P16">
        <f t="shared" si="2"/>
        <v>2</v>
      </c>
      <c r="Q16" t="str">
        <f t="shared" si="3"/>
        <v>Short-Term</v>
      </c>
      <c r="R16" t="str">
        <f t="shared" si="4"/>
        <v/>
      </c>
      <c r="S16">
        <f t="shared" si="5"/>
        <v>41.82</v>
      </c>
      <c r="T16" t="str">
        <f t="shared" si="6"/>
        <v>Standard</v>
      </c>
      <c r="U16">
        <f t="shared" si="7"/>
        <v>2023</v>
      </c>
    </row>
    <row r="17" spans="1:21" x14ac:dyDescent="0.35">
      <c r="A17" s="4" t="s">
        <v>88</v>
      </c>
      <c r="B17" s="4" t="s">
        <v>82</v>
      </c>
      <c r="C17" s="14" t="s">
        <v>32</v>
      </c>
      <c r="D17" s="14" t="s">
        <v>15</v>
      </c>
      <c r="E17" s="4">
        <v>66000</v>
      </c>
      <c r="F17" s="4" t="s">
        <v>16</v>
      </c>
      <c r="G17" s="4" t="s">
        <v>84</v>
      </c>
      <c r="H17" s="4" t="s">
        <v>34</v>
      </c>
      <c r="I17" s="22" t="s">
        <v>85</v>
      </c>
      <c r="J17" s="22" t="s">
        <v>86</v>
      </c>
      <c r="K17" s="4">
        <v>2760000</v>
      </c>
      <c r="L17" s="4" t="s">
        <v>87</v>
      </c>
      <c r="M17">
        <f>IF(F17&lt;&gt;"Active","",K17/'FX Rate Table'!$B$2)</f>
        <v>33053.892215568863</v>
      </c>
      <c r="N17">
        <f t="shared" si="0"/>
        <v>33120000</v>
      </c>
      <c r="O17">
        <f t="shared" si="1"/>
        <v>396646.70658682636</v>
      </c>
      <c r="P17">
        <f t="shared" si="2"/>
        <v>2</v>
      </c>
      <c r="Q17" t="str">
        <f t="shared" si="3"/>
        <v>Short-Term</v>
      </c>
      <c r="R17" t="str">
        <f t="shared" si="4"/>
        <v/>
      </c>
      <c r="S17">
        <f t="shared" si="5"/>
        <v>41.82</v>
      </c>
      <c r="T17" t="str">
        <f t="shared" si="6"/>
        <v>Standard</v>
      </c>
      <c r="U17">
        <f t="shared" si="7"/>
        <v>2023</v>
      </c>
    </row>
    <row r="18" spans="1:21" x14ac:dyDescent="0.35">
      <c r="A18" s="4" t="s">
        <v>89</v>
      </c>
      <c r="B18" s="4" t="s">
        <v>90</v>
      </c>
      <c r="C18" s="14" t="s">
        <v>37</v>
      </c>
      <c r="D18" s="14" t="s">
        <v>38</v>
      </c>
      <c r="E18" s="4">
        <v>17500</v>
      </c>
      <c r="F18" s="4" t="s">
        <v>16</v>
      </c>
      <c r="G18" s="4" t="s">
        <v>91</v>
      </c>
      <c r="H18" s="4" t="s">
        <v>97</v>
      </c>
      <c r="I18" s="22" t="s">
        <v>92</v>
      </c>
      <c r="J18" s="22" t="s">
        <v>19</v>
      </c>
      <c r="K18" s="4">
        <v>760000</v>
      </c>
      <c r="L18" s="4" t="s">
        <v>93</v>
      </c>
      <c r="M18">
        <f>IF(F18&lt;&gt;"Active","",K18/'FX Rate Table'!$B$2)</f>
        <v>9101.7964071856295</v>
      </c>
      <c r="N18">
        <f t="shared" si="0"/>
        <v>9120000</v>
      </c>
      <c r="O18">
        <f t="shared" si="1"/>
        <v>109221.55688622755</v>
      </c>
      <c r="P18">
        <f t="shared" si="2"/>
        <v>2</v>
      </c>
      <c r="Q18" t="str">
        <f t="shared" si="3"/>
        <v>Short-Term</v>
      </c>
      <c r="R18" t="str">
        <f t="shared" si="4"/>
        <v/>
      </c>
      <c r="S18">
        <f t="shared" si="5"/>
        <v>43.43</v>
      </c>
      <c r="T18" t="str">
        <f t="shared" si="6"/>
        <v>Standard</v>
      </c>
      <c r="U18">
        <f t="shared" si="7"/>
        <v>2024</v>
      </c>
    </row>
    <row r="19" spans="1:21" x14ac:dyDescent="0.35">
      <c r="A19" s="4" t="s">
        <v>94</v>
      </c>
      <c r="B19" s="4" t="s">
        <v>90</v>
      </c>
      <c r="C19" s="14" t="s">
        <v>37</v>
      </c>
      <c r="D19" s="14" t="s">
        <v>38</v>
      </c>
      <c r="E19" s="4">
        <v>17500</v>
      </c>
      <c r="F19" s="4" t="s">
        <v>16</v>
      </c>
      <c r="G19" s="4" t="s">
        <v>91</v>
      </c>
      <c r="H19" s="4" t="s">
        <v>97</v>
      </c>
      <c r="I19" s="22" t="s">
        <v>92</v>
      </c>
      <c r="J19" s="22" t="s">
        <v>19</v>
      </c>
      <c r="K19" s="4">
        <v>760000</v>
      </c>
      <c r="L19" s="4" t="s">
        <v>93</v>
      </c>
      <c r="M19">
        <f>IF(F19&lt;&gt;"Active","",K19/'FX Rate Table'!$B$2)</f>
        <v>9101.7964071856295</v>
      </c>
      <c r="N19">
        <f t="shared" si="0"/>
        <v>9120000</v>
      </c>
      <c r="O19">
        <f t="shared" si="1"/>
        <v>109221.55688622755</v>
      </c>
      <c r="P19">
        <f t="shared" si="2"/>
        <v>2</v>
      </c>
      <c r="Q19" t="str">
        <f t="shared" si="3"/>
        <v>Short-Term</v>
      </c>
      <c r="R19" t="str">
        <f t="shared" si="4"/>
        <v/>
      </c>
      <c r="S19">
        <f t="shared" si="5"/>
        <v>43.43</v>
      </c>
      <c r="T19" t="str">
        <f t="shared" si="6"/>
        <v>Standard</v>
      </c>
      <c r="U19">
        <f t="shared" si="7"/>
        <v>2024</v>
      </c>
    </row>
    <row r="20" spans="1:21" x14ac:dyDescent="0.35">
      <c r="A20" s="4" t="s">
        <v>98</v>
      </c>
      <c r="B20" s="4" t="s">
        <v>99</v>
      </c>
      <c r="C20" s="14" t="s">
        <v>58</v>
      </c>
      <c r="D20" s="14" t="s">
        <v>15</v>
      </c>
      <c r="E20" s="4">
        <v>44000</v>
      </c>
      <c r="F20" s="4" t="s">
        <v>16</v>
      </c>
      <c r="G20" s="4" t="s">
        <v>100</v>
      </c>
      <c r="H20" s="4" t="s">
        <v>117</v>
      </c>
      <c r="I20" s="22" t="s">
        <v>101</v>
      </c>
      <c r="J20" s="22" t="s">
        <v>102</v>
      </c>
      <c r="K20" s="4">
        <v>1720000</v>
      </c>
      <c r="L20" s="4"/>
      <c r="M20">
        <f>IF(F20&lt;&gt;"Active","",K20/'FX Rate Table'!$B$2)</f>
        <v>20598.802395209579</v>
      </c>
      <c r="N20">
        <f t="shared" si="0"/>
        <v>20640000</v>
      </c>
      <c r="O20">
        <f t="shared" si="1"/>
        <v>247185.62874251493</v>
      </c>
      <c r="P20">
        <f t="shared" si="2"/>
        <v>2</v>
      </c>
      <c r="Q20" t="str">
        <f t="shared" si="3"/>
        <v>Short-Term</v>
      </c>
      <c r="R20" t="str">
        <f t="shared" si="4"/>
        <v/>
      </c>
      <c r="S20">
        <f t="shared" si="5"/>
        <v>39.090000000000003</v>
      </c>
      <c r="T20" t="str">
        <f t="shared" si="6"/>
        <v>Standard</v>
      </c>
      <c r="U20">
        <f t="shared" si="7"/>
        <v>2021</v>
      </c>
    </row>
    <row r="21" spans="1:21" x14ac:dyDescent="0.35">
      <c r="A21" s="4" t="s">
        <v>103</v>
      </c>
      <c r="B21" s="4" t="s">
        <v>99</v>
      </c>
      <c r="C21" s="14" t="s">
        <v>58</v>
      </c>
      <c r="D21" s="14" t="s">
        <v>15</v>
      </c>
      <c r="E21" s="4">
        <v>44000</v>
      </c>
      <c r="F21" s="4" t="s">
        <v>175</v>
      </c>
      <c r="G21" s="4"/>
      <c r="H21" s="4" t="s">
        <v>176</v>
      </c>
      <c r="I21" s="22"/>
      <c r="J21" s="22"/>
      <c r="K21" s="4"/>
      <c r="L21" s="4"/>
      <c r="M21" t="str">
        <f>IF(F21&lt;&gt;"Active","",K21/'FX Rate Table'!$B$2)</f>
        <v/>
      </c>
      <c r="N21" t="str">
        <f t="shared" si="0"/>
        <v/>
      </c>
      <c r="O21" t="str">
        <f t="shared" si="1"/>
        <v/>
      </c>
      <c r="P21" t="str">
        <f t="shared" si="2"/>
        <v/>
      </c>
      <c r="Q21" t="str">
        <f t="shared" si="3"/>
        <v/>
      </c>
      <c r="R21" t="str">
        <f t="shared" si="4"/>
        <v/>
      </c>
      <c r="S21" t="str">
        <f t="shared" si="5"/>
        <v/>
      </c>
      <c r="T21" t="str">
        <f t="shared" si="6"/>
        <v/>
      </c>
      <c r="U21" t="str">
        <f t="shared" si="7"/>
        <v/>
      </c>
    </row>
    <row r="22" spans="1:21" x14ac:dyDescent="0.35">
      <c r="A22" s="4" t="s">
        <v>104</v>
      </c>
      <c r="B22" s="4" t="s">
        <v>105</v>
      </c>
      <c r="C22" s="14" t="s">
        <v>47</v>
      </c>
      <c r="D22" s="14" t="s">
        <v>48</v>
      </c>
      <c r="E22" s="4">
        <v>132000</v>
      </c>
      <c r="F22" s="4" t="s">
        <v>16</v>
      </c>
      <c r="G22" s="4" t="s">
        <v>106</v>
      </c>
      <c r="H22" s="4" t="s">
        <v>55</v>
      </c>
      <c r="I22" s="22" t="s">
        <v>107</v>
      </c>
      <c r="J22" s="22" t="s">
        <v>108</v>
      </c>
      <c r="K22" s="4">
        <v>3420000</v>
      </c>
      <c r="L22" s="4" t="s">
        <v>109</v>
      </c>
      <c r="M22">
        <f>IF(F22&lt;&gt;"Active","",K22/'FX Rate Table'!$B$2)</f>
        <v>40958.083832335331</v>
      </c>
      <c r="N22">
        <f t="shared" si="0"/>
        <v>41040000</v>
      </c>
      <c r="O22">
        <f t="shared" si="1"/>
        <v>491497.00598802394</v>
      </c>
      <c r="P22">
        <f t="shared" si="2"/>
        <v>7</v>
      </c>
      <c r="Q22" t="str">
        <f t="shared" si="3"/>
        <v>Long-Term</v>
      </c>
      <c r="R22" t="str">
        <f t="shared" si="4"/>
        <v>Above Average Size</v>
      </c>
      <c r="S22">
        <f t="shared" si="5"/>
        <v>25.91</v>
      </c>
      <c r="T22" t="str">
        <f t="shared" si="6"/>
        <v>Premium Account</v>
      </c>
      <c r="U22">
        <f t="shared" si="7"/>
        <v>2022</v>
      </c>
    </row>
    <row r="23" spans="1:21" x14ac:dyDescent="0.35">
      <c r="A23" s="4" t="s">
        <v>110</v>
      </c>
      <c r="B23" s="4" t="s">
        <v>111</v>
      </c>
      <c r="C23" s="14" t="s">
        <v>74</v>
      </c>
      <c r="D23" s="14" t="s">
        <v>15</v>
      </c>
      <c r="E23" s="4">
        <v>58000</v>
      </c>
      <c r="F23" s="4" t="s">
        <v>16</v>
      </c>
      <c r="G23" s="4" t="s">
        <v>112</v>
      </c>
      <c r="H23" s="4" t="s">
        <v>117</v>
      </c>
      <c r="I23" s="22" t="s">
        <v>113</v>
      </c>
      <c r="J23" s="22" t="s">
        <v>114</v>
      </c>
      <c r="K23" s="4">
        <v>2530000</v>
      </c>
      <c r="L23" s="4" t="s">
        <v>115</v>
      </c>
      <c r="M23">
        <f>IF(F23&lt;&gt;"Active","",K23/'FX Rate Table'!$B$2)</f>
        <v>30299.401197604791</v>
      </c>
      <c r="N23">
        <f t="shared" si="0"/>
        <v>30360000</v>
      </c>
      <c r="O23">
        <f t="shared" si="1"/>
        <v>363592.8143712575</v>
      </c>
      <c r="P23">
        <f t="shared" si="2"/>
        <v>5</v>
      </c>
      <c r="Q23" t="str">
        <f t="shared" si="3"/>
        <v>Long-Term</v>
      </c>
      <c r="R23" t="str">
        <f t="shared" si="4"/>
        <v/>
      </c>
      <c r="S23">
        <f t="shared" si="5"/>
        <v>43.62</v>
      </c>
      <c r="T23" t="str">
        <f t="shared" si="6"/>
        <v>Standard</v>
      </c>
      <c r="U23">
        <f t="shared" si="7"/>
        <v>2020</v>
      </c>
    </row>
    <row r="24" spans="1:21" x14ac:dyDescent="0.35">
      <c r="A24" s="4" t="s">
        <v>116</v>
      </c>
      <c r="B24" s="4" t="s">
        <v>111</v>
      </c>
      <c r="C24" s="14" t="s">
        <v>74</v>
      </c>
      <c r="D24" s="14" t="s">
        <v>15</v>
      </c>
      <c r="E24" s="4">
        <v>58000</v>
      </c>
      <c r="F24" s="4" t="s">
        <v>16</v>
      </c>
      <c r="G24" s="4" t="s">
        <v>112</v>
      </c>
      <c r="H24" s="4" t="s">
        <v>117</v>
      </c>
      <c r="I24" s="22" t="s">
        <v>113</v>
      </c>
      <c r="J24" s="22" t="s">
        <v>114</v>
      </c>
      <c r="K24" s="4">
        <v>2530000</v>
      </c>
      <c r="L24" s="4" t="s">
        <v>115</v>
      </c>
      <c r="M24">
        <f>IF(F24&lt;&gt;"Active","",K24/'FX Rate Table'!$B$2)</f>
        <v>30299.401197604791</v>
      </c>
      <c r="N24">
        <f t="shared" si="0"/>
        <v>30360000</v>
      </c>
      <c r="O24">
        <f t="shared" si="1"/>
        <v>363592.8143712575</v>
      </c>
      <c r="P24">
        <f t="shared" si="2"/>
        <v>5</v>
      </c>
      <c r="Q24" t="str">
        <f t="shared" si="3"/>
        <v>Long-Term</v>
      </c>
      <c r="R24" t="str">
        <f t="shared" si="4"/>
        <v/>
      </c>
      <c r="S24">
        <f t="shared" si="5"/>
        <v>43.62</v>
      </c>
      <c r="T24" t="str">
        <f t="shared" si="6"/>
        <v>Standard</v>
      </c>
      <c r="U24">
        <f t="shared" si="7"/>
        <v>2020</v>
      </c>
    </row>
    <row r="25" spans="1:21" x14ac:dyDescent="0.35">
      <c r="Q25" t="str">
        <f t="shared" si="2"/>
        <v/>
      </c>
      <c r="R25" t="str">
        <f t="shared" si="4"/>
        <v/>
      </c>
      <c r="U25" t="str">
        <f t="shared" si="7"/>
        <v/>
      </c>
    </row>
    <row r="26" spans="1:21" x14ac:dyDescent="0.35">
      <c r="Q26" t="str">
        <f t="shared" si="2"/>
        <v/>
      </c>
      <c r="R26" t="str">
        <f t="shared" si="4"/>
        <v/>
      </c>
      <c r="U26" t="str">
        <f t="shared" si="7"/>
        <v/>
      </c>
    </row>
    <row r="27" spans="1:21" x14ac:dyDescent="0.35">
      <c r="A27" s="13" t="s">
        <v>126</v>
      </c>
      <c r="Q27" t="str">
        <f t="shared" si="2"/>
        <v/>
      </c>
      <c r="R27" t="str">
        <f t="shared" si="4"/>
        <v/>
      </c>
      <c r="U27" t="str">
        <f t="shared" si="7"/>
        <v/>
      </c>
    </row>
    <row r="28" spans="1:21" x14ac:dyDescent="0.35">
      <c r="A28" s="20">
        <f>SUMPRODUCT((B2:B24&lt;&gt;"")/COUNTIF(B2:B24,B2:B24&amp;""))</f>
        <v>13</v>
      </c>
      <c r="Q28" t="str">
        <f t="shared" si="2"/>
        <v/>
      </c>
      <c r="R28" t="str">
        <f t="shared" si="4"/>
        <v/>
      </c>
      <c r="U28" t="str">
        <f t="shared" si="7"/>
        <v/>
      </c>
    </row>
    <row r="29" spans="1:21" x14ac:dyDescent="0.35">
      <c r="Q29" t="str">
        <f t="shared" si="2"/>
        <v/>
      </c>
      <c r="R29" t="str">
        <f t="shared" si="4"/>
        <v/>
      </c>
      <c r="U29" t="str">
        <f t="shared" si="7"/>
        <v/>
      </c>
    </row>
    <row r="30" spans="1:21" x14ac:dyDescent="0.35">
      <c r="A30" s="10" t="s">
        <v>180</v>
      </c>
      <c r="B30">
        <f>ROUND(AVERAGEIF(F2:F24,"Active",E2:E24),2)</f>
        <v>68476.19</v>
      </c>
      <c r="Q30" t="str">
        <f t="shared" si="2"/>
        <v/>
      </c>
      <c r="R30" t="str">
        <f t="shared" si="4"/>
        <v/>
      </c>
      <c r="U30" t="str">
        <f t="shared" si="7"/>
        <v/>
      </c>
    </row>
    <row r="31" spans="1:21" x14ac:dyDescent="0.35">
      <c r="Q31" t="str">
        <f t="shared" si="2"/>
        <v/>
      </c>
      <c r="R31" t="str">
        <f t="shared" si="4"/>
        <v/>
      </c>
      <c r="U31" t="str">
        <f t="shared" si="7"/>
        <v/>
      </c>
    </row>
    <row r="32" spans="1:21" x14ac:dyDescent="0.35">
      <c r="A32" s="13" t="s">
        <v>182</v>
      </c>
      <c r="Q32" t="str">
        <f t="shared" si="2"/>
        <v/>
      </c>
      <c r="R32" t="str">
        <f t="shared" si="4"/>
        <v/>
      </c>
      <c r="U32" t="str">
        <f t="shared" si="7"/>
        <v/>
      </c>
    </row>
    <row r="33" spans="1:21" x14ac:dyDescent="0.35">
      <c r="A33" s="13" t="s">
        <v>183</v>
      </c>
      <c r="B33" s="13" t="s">
        <v>186</v>
      </c>
      <c r="Q33" t="str">
        <f t="shared" si="2"/>
        <v/>
      </c>
      <c r="R33" t="str">
        <f t="shared" si="4"/>
        <v/>
      </c>
      <c r="U33" t="str">
        <f t="shared" si="7"/>
        <v/>
      </c>
    </row>
    <row r="34" spans="1:21" x14ac:dyDescent="0.35">
      <c r="A34" s="4" t="s">
        <v>165</v>
      </c>
      <c r="B34">
        <f t="shared" ref="B34:B40" si="8">SUMIFS($K$2:$K$24,$F$2:$F$24,"Active",$H$2:$H$24,A34)</f>
        <v>8040000</v>
      </c>
      <c r="R34" t="str">
        <f t="shared" si="4"/>
        <v/>
      </c>
      <c r="U34" t="str">
        <f t="shared" si="7"/>
        <v/>
      </c>
    </row>
    <row r="35" spans="1:21" x14ac:dyDescent="0.35">
      <c r="A35" s="4" t="s">
        <v>34</v>
      </c>
      <c r="B35">
        <f t="shared" si="8"/>
        <v>11620000</v>
      </c>
      <c r="R35" t="str">
        <f t="shared" si="4"/>
        <v/>
      </c>
      <c r="U35" t="str">
        <f t="shared" si="7"/>
        <v/>
      </c>
    </row>
    <row r="36" spans="1:21" x14ac:dyDescent="0.35">
      <c r="A36" s="4" t="s">
        <v>44</v>
      </c>
      <c r="B36">
        <f t="shared" si="8"/>
        <v>1780000</v>
      </c>
      <c r="R36" t="str">
        <f t="shared" si="4"/>
        <v/>
      </c>
      <c r="U36" t="str">
        <f t="shared" si="7"/>
        <v/>
      </c>
    </row>
    <row r="37" spans="1:21" x14ac:dyDescent="0.35">
      <c r="A37" s="4" t="s">
        <v>55</v>
      </c>
      <c r="B37">
        <f t="shared" si="8"/>
        <v>17800000</v>
      </c>
      <c r="R37" t="str">
        <f t="shared" si="4"/>
        <v/>
      </c>
      <c r="U37" t="str">
        <f t="shared" si="7"/>
        <v/>
      </c>
    </row>
    <row r="38" spans="1:21" x14ac:dyDescent="0.35">
      <c r="A38" s="4" t="s">
        <v>166</v>
      </c>
      <c r="B38">
        <f t="shared" si="8"/>
        <v>1410000</v>
      </c>
      <c r="R38" t="str">
        <f t="shared" si="4"/>
        <v/>
      </c>
      <c r="U38" t="str">
        <f t="shared" si="7"/>
        <v/>
      </c>
    </row>
    <row r="39" spans="1:21" x14ac:dyDescent="0.35">
      <c r="A39" s="4" t="s">
        <v>97</v>
      </c>
      <c r="B39">
        <f t="shared" si="8"/>
        <v>1520000</v>
      </c>
      <c r="R39" t="str">
        <f t="shared" si="4"/>
        <v/>
      </c>
      <c r="U39" t="str">
        <f t="shared" si="7"/>
        <v/>
      </c>
    </row>
    <row r="40" spans="1:21" x14ac:dyDescent="0.35">
      <c r="A40" s="4" t="s">
        <v>117</v>
      </c>
      <c r="B40">
        <f t="shared" si="8"/>
        <v>6780000</v>
      </c>
      <c r="R40" t="str">
        <f t="shared" si="4"/>
        <v/>
      </c>
      <c r="U40" t="str">
        <f t="shared" si="7"/>
        <v/>
      </c>
    </row>
    <row r="41" spans="1:21" x14ac:dyDescent="0.35">
      <c r="A41" s="15" t="s">
        <v>187</v>
      </c>
      <c r="B41" s="13">
        <f>MAX(B34:B40)</f>
        <v>17800000</v>
      </c>
      <c r="R41" t="str">
        <f t="shared" si="4"/>
        <v/>
      </c>
      <c r="U41" t="str">
        <f t="shared" si="7"/>
        <v/>
      </c>
    </row>
    <row r="42" spans="1:21" x14ac:dyDescent="0.35">
      <c r="A42" s="15" t="s">
        <v>191</v>
      </c>
      <c r="B42" s="13">
        <f>LARGE(B34:B40,2)</f>
        <v>11620000</v>
      </c>
      <c r="R42" t="str">
        <f t="shared" si="4"/>
        <v/>
      </c>
      <c r="U42" t="str">
        <f t="shared" si="7"/>
        <v/>
      </c>
    </row>
    <row r="44" spans="1:21" x14ac:dyDescent="0.35">
      <c r="A44" s="13" t="s">
        <v>184</v>
      </c>
    </row>
    <row r="45" spans="1:21" x14ac:dyDescent="0.35">
      <c r="A45" s="15" t="s">
        <v>2</v>
      </c>
      <c r="B45" s="13" t="s">
        <v>185</v>
      </c>
      <c r="C45" s="13" t="s">
        <v>188</v>
      </c>
      <c r="D45" s="13"/>
    </row>
    <row r="46" spans="1:21" x14ac:dyDescent="0.35">
      <c r="A46" s="4" t="s">
        <v>22</v>
      </c>
      <c r="B46" s="16">
        <f>SUMIFS($N$2:$N$24,$F$2:$F$24,"Active",$C$2:$C$24,A46)</f>
        <v>64440000</v>
      </c>
      <c r="C46">
        <f>ROUND(B46/$B$52*100,2)</f>
        <v>10.97</v>
      </c>
    </row>
    <row r="47" spans="1:21" x14ac:dyDescent="0.35">
      <c r="A47" s="4" t="s">
        <v>32</v>
      </c>
      <c r="B47" s="16">
        <f t="shared" ref="B47:B51" si="9">SUMIFS($N$2:$N$24,$F$2:$F$24,"Active",$C$2:$C$24,A47)</f>
        <v>139440000</v>
      </c>
      <c r="C47">
        <f t="shared" ref="C47:C51" si="10">ROUND(B47/$B$52*100,2)</f>
        <v>23.74</v>
      </c>
    </row>
    <row r="48" spans="1:21" x14ac:dyDescent="0.35">
      <c r="A48" s="4" t="s">
        <v>37</v>
      </c>
      <c r="B48" s="16">
        <f t="shared" si="9"/>
        <v>39600000</v>
      </c>
      <c r="C48">
        <f t="shared" si="10"/>
        <v>6.74</v>
      </c>
    </row>
    <row r="49" spans="1:3" x14ac:dyDescent="0.35">
      <c r="A49" s="4" t="s">
        <v>47</v>
      </c>
      <c r="B49" s="16">
        <f t="shared" si="9"/>
        <v>136560000</v>
      </c>
      <c r="C49">
        <f t="shared" si="10"/>
        <v>23.25</v>
      </c>
    </row>
    <row r="50" spans="1:3" x14ac:dyDescent="0.35">
      <c r="A50" s="4" t="s">
        <v>58</v>
      </c>
      <c r="B50" s="16">
        <f t="shared" si="9"/>
        <v>69600000</v>
      </c>
      <c r="C50">
        <f t="shared" si="10"/>
        <v>11.85</v>
      </c>
    </row>
    <row r="51" spans="1:3" x14ac:dyDescent="0.35">
      <c r="A51" s="4" t="s">
        <v>74</v>
      </c>
      <c r="B51" s="16">
        <f t="shared" si="9"/>
        <v>137760000</v>
      </c>
      <c r="C51">
        <f t="shared" si="10"/>
        <v>23.45</v>
      </c>
    </row>
    <row r="52" spans="1:3" x14ac:dyDescent="0.35">
      <c r="B52" s="17">
        <f>SUM(B46:B51)</f>
        <v>587400000</v>
      </c>
    </row>
    <row r="54" spans="1:3" x14ac:dyDescent="0.35">
      <c r="A54" s="13" t="s">
        <v>190</v>
      </c>
    </row>
    <row r="55" spans="1:3" x14ac:dyDescent="0.35">
      <c r="A55">
        <f>MIN(S2:S24)</f>
        <v>25.19</v>
      </c>
      <c r="B55" t="str">
        <f>INDEX($B$2:$B$24,MATCH(A55,$S$2:$S$24,0))</f>
        <v>Portside Storage Hub</v>
      </c>
    </row>
    <row r="57" spans="1:3" x14ac:dyDescent="0.35">
      <c r="A57" s="13" t="s">
        <v>141</v>
      </c>
    </row>
    <row r="58" spans="1:3" x14ac:dyDescent="0.35">
      <c r="A58">
        <f>COUNTIFS($F$2:$F$24,"Active",$L$2:$L$24,"")</f>
        <v>5</v>
      </c>
    </row>
    <row r="60" spans="1:3" x14ac:dyDescent="0.35">
      <c r="A60" s="13" t="s">
        <v>143</v>
      </c>
    </row>
    <row r="61" spans="1:3" x14ac:dyDescent="0.35">
      <c r="A61">
        <f>SUMPRODUCT((U2:U24&lt;&gt;"")/COUNTIF(U2:U24,U2:U24&amp;""))</f>
        <v>6.9999999999999991</v>
      </c>
    </row>
    <row r="63" spans="1:3" x14ac:dyDescent="0.35">
      <c r="A63" s="13" t="s">
        <v>195</v>
      </c>
    </row>
    <row r="64" spans="1:3" x14ac:dyDescent="0.35">
      <c r="A64" s="14" t="s">
        <v>15</v>
      </c>
      <c r="B64">
        <f>SUMIFS($O$2:$O$24,$F$2:$F$24,"Active",$D$2:$D$24,A64)</f>
        <v>3799760.4790419172</v>
      </c>
      <c r="C64">
        <f>ROUND(B64/SUM($B$64:$B$66)*100,2)</f>
        <v>54.01</v>
      </c>
    </row>
    <row r="65" spans="1:3" x14ac:dyDescent="0.35">
      <c r="A65" s="14" t="s">
        <v>38</v>
      </c>
      <c r="B65">
        <f t="shared" ref="B65:B66" si="11">SUMIFS($O$2:$O$24,$F$2:$F$24,"Active",$D$2:$D$24,A65)</f>
        <v>676886.22754491027</v>
      </c>
      <c r="C65">
        <f t="shared" ref="C65:C66" si="12">ROUND(B65/SUM($B$64:$B$66)*100,2)</f>
        <v>9.6199999999999992</v>
      </c>
    </row>
    <row r="66" spans="1:3" x14ac:dyDescent="0.35">
      <c r="A66" s="14" t="s">
        <v>48</v>
      </c>
      <c r="B66">
        <f t="shared" si="11"/>
        <v>2558083.8323353296</v>
      </c>
      <c r="C66">
        <f t="shared" si="12"/>
        <v>36.36</v>
      </c>
    </row>
  </sheetData>
  <conditionalFormatting sqref="Q2:Q24">
    <cfRule type="containsText" dxfId="1" priority="1" operator="containsText" text="Short-Term">
      <formula>NOT(ISERROR(SEARCH("Short-Term",Q2)))</formula>
    </cfRule>
    <cfRule type="containsText" dxfId="0" priority="2" operator="containsText" text="Long-Term">
      <formula>NOT(ISERROR(SEARCH("Long-Term",Q2)))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17" zoomScaleNormal="100" workbookViewId="0">
      <selection activeCell="B2" sqref="B2"/>
    </sheetView>
  </sheetViews>
  <sheetFormatPr defaultColWidth="8.6328125" defaultRowHeight="14.5" x14ac:dyDescent="0.35"/>
  <cols>
    <col min="1" max="1" width="12" customWidth="1"/>
    <col min="2" max="2" width="20" customWidth="1"/>
  </cols>
  <sheetData>
    <row r="1" spans="1:2" x14ac:dyDescent="0.35">
      <c r="A1" s="3" t="s">
        <v>118</v>
      </c>
      <c r="B1" s="3" t="s">
        <v>119</v>
      </c>
    </row>
    <row r="2" spans="1:2" x14ac:dyDescent="0.35">
      <c r="A2" s="4" t="s">
        <v>120</v>
      </c>
      <c r="B2" s="4">
        <v>83.5</v>
      </c>
    </row>
    <row r="3" spans="1:2" x14ac:dyDescent="0.35">
      <c r="A3" s="4" t="s">
        <v>121</v>
      </c>
      <c r="B3" s="4">
        <v>90.2</v>
      </c>
    </row>
    <row r="4" spans="1:2" x14ac:dyDescent="0.35">
      <c r="A4" s="4" t="s">
        <v>122</v>
      </c>
      <c r="B4" s="4">
        <v>105.3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A778-BDD2-4EC3-9D1F-CA13E57998F2}">
  <dimension ref="A1:E11"/>
  <sheetViews>
    <sheetView workbookViewId="0">
      <selection activeCell="B9" sqref="B9"/>
    </sheetView>
  </sheetViews>
  <sheetFormatPr defaultRowHeight="14.5" x14ac:dyDescent="0.35"/>
  <cols>
    <col min="1" max="1" width="22.81640625" bestFit="1" customWidth="1"/>
    <col min="2" max="2" width="14.90625" bestFit="1" customWidth="1"/>
    <col min="3" max="5" width="11.81640625" bestFit="1" customWidth="1"/>
  </cols>
  <sheetData>
    <row r="1" spans="1:5" x14ac:dyDescent="0.35">
      <c r="A1" s="13" t="s">
        <v>144</v>
      </c>
    </row>
    <row r="3" spans="1:5" x14ac:dyDescent="0.35">
      <c r="A3" s="18" t="s">
        <v>193</v>
      </c>
      <c r="B3" s="18" t="s">
        <v>3</v>
      </c>
    </row>
    <row r="4" spans="1:5" x14ac:dyDescent="0.35">
      <c r="A4" s="18" t="s">
        <v>2</v>
      </c>
      <c r="B4" t="s">
        <v>48</v>
      </c>
      <c r="C4" t="s">
        <v>15</v>
      </c>
      <c r="D4" t="s">
        <v>38</v>
      </c>
      <c r="E4" t="s">
        <v>192</v>
      </c>
    </row>
    <row r="5" spans="1:5" x14ac:dyDescent="0.35">
      <c r="A5" s="19" t="s">
        <v>22</v>
      </c>
      <c r="C5">
        <v>569101.79640718573</v>
      </c>
      <c r="D5">
        <v>202634.73053892216</v>
      </c>
      <c r="E5">
        <v>771736.52694610786</v>
      </c>
    </row>
    <row r="6" spans="1:5" x14ac:dyDescent="0.35">
      <c r="A6" s="19" t="s">
        <v>37</v>
      </c>
      <c r="D6">
        <v>474251.49700598809</v>
      </c>
      <c r="E6">
        <v>474251.49700598809</v>
      </c>
    </row>
    <row r="7" spans="1:5" x14ac:dyDescent="0.35">
      <c r="A7" s="19" t="s">
        <v>74</v>
      </c>
      <c r="B7">
        <v>922634.73053892213</v>
      </c>
      <c r="C7">
        <v>727185.62874251499</v>
      </c>
      <c r="E7">
        <v>1649820.359281437</v>
      </c>
    </row>
    <row r="8" spans="1:5" x14ac:dyDescent="0.35">
      <c r="A8" s="19" t="s">
        <v>32</v>
      </c>
      <c r="C8">
        <v>1669940.1197604791</v>
      </c>
      <c r="E8">
        <v>1669940.1197604791</v>
      </c>
    </row>
    <row r="9" spans="1:5" x14ac:dyDescent="0.35">
      <c r="A9" s="19" t="s">
        <v>47</v>
      </c>
      <c r="B9">
        <v>1635449.101796407</v>
      </c>
      <c r="E9">
        <v>1635449.101796407</v>
      </c>
    </row>
    <row r="10" spans="1:5" x14ac:dyDescent="0.35">
      <c r="A10" s="19" t="s">
        <v>58</v>
      </c>
      <c r="C10">
        <v>833532.9341317364</v>
      </c>
      <c r="E10">
        <v>833532.9341317364</v>
      </c>
    </row>
    <row r="11" spans="1:5" x14ac:dyDescent="0.35">
      <c r="A11" s="19" t="s">
        <v>192</v>
      </c>
      <c r="B11">
        <v>2558083.8323353291</v>
      </c>
      <c r="C11">
        <v>3799760.4790419159</v>
      </c>
      <c r="D11">
        <v>676886.22754491027</v>
      </c>
      <c r="E11">
        <v>7034730.5389221553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zoomScale="116" zoomScaleNormal="100" workbookViewId="0">
      <selection activeCell="B17" sqref="B17"/>
    </sheetView>
  </sheetViews>
  <sheetFormatPr defaultColWidth="8.6328125" defaultRowHeight="14.5" x14ac:dyDescent="0.35"/>
  <cols>
    <col min="1" max="1" width="6" customWidth="1"/>
    <col min="2" max="2" width="91.26953125" bestFit="1" customWidth="1"/>
    <col min="3" max="3" width="15.90625" bestFit="1" customWidth="1"/>
  </cols>
  <sheetData>
    <row r="1" spans="1:4" ht="17.5" x14ac:dyDescent="0.35">
      <c r="A1" s="24" t="s">
        <v>196</v>
      </c>
      <c r="B1" s="24"/>
      <c r="C1" s="24"/>
    </row>
    <row r="2" spans="1:4" x14ac:dyDescent="0.35">
      <c r="A2" s="25"/>
      <c r="B2" s="25"/>
      <c r="C2" s="25"/>
    </row>
    <row r="3" spans="1:4" x14ac:dyDescent="0.35">
      <c r="A3" s="5" t="s">
        <v>123</v>
      </c>
      <c r="B3" s="5" t="s">
        <v>124</v>
      </c>
      <c r="C3" s="5" t="s">
        <v>125</v>
      </c>
    </row>
    <row r="4" spans="1:4" ht="30" customHeight="1" x14ac:dyDescent="0.35">
      <c r="A4" s="6">
        <v>1</v>
      </c>
      <c r="B4" s="11" t="s">
        <v>126</v>
      </c>
      <c r="C4" s="2" t="s">
        <v>127</v>
      </c>
      <c r="D4" t="s">
        <v>177</v>
      </c>
    </row>
    <row r="5" spans="1:4" ht="30" customHeight="1" x14ac:dyDescent="0.35">
      <c r="A5" s="6">
        <v>2</v>
      </c>
      <c r="B5" s="7" t="s">
        <v>128</v>
      </c>
      <c r="C5" s="2" t="s">
        <v>127</v>
      </c>
      <c r="D5" t="s">
        <v>177</v>
      </c>
    </row>
    <row r="6" spans="1:4" ht="30" customHeight="1" x14ac:dyDescent="0.35">
      <c r="A6" s="6">
        <v>3</v>
      </c>
      <c r="B6" s="7" t="s">
        <v>129</v>
      </c>
      <c r="C6" s="2" t="s">
        <v>130</v>
      </c>
      <c r="D6" t="s">
        <v>177</v>
      </c>
    </row>
    <row r="7" spans="1:4" ht="30" customHeight="1" x14ac:dyDescent="0.35">
      <c r="A7" s="6">
        <v>4</v>
      </c>
      <c r="B7" s="7" t="s">
        <v>131</v>
      </c>
      <c r="C7" s="2" t="s">
        <v>127</v>
      </c>
      <c r="D7" t="s">
        <v>177</v>
      </c>
    </row>
    <row r="8" spans="1:4" ht="30" customHeight="1" x14ac:dyDescent="0.35">
      <c r="A8" s="6">
        <v>5</v>
      </c>
      <c r="B8" s="7" t="s">
        <v>132</v>
      </c>
      <c r="C8" s="2" t="s">
        <v>130</v>
      </c>
      <c r="D8" t="s">
        <v>177</v>
      </c>
    </row>
    <row r="9" spans="1:4" ht="30" customHeight="1" x14ac:dyDescent="0.35">
      <c r="A9" s="6">
        <v>6</v>
      </c>
      <c r="B9" s="7" t="s">
        <v>133</v>
      </c>
      <c r="C9" s="2" t="s">
        <v>127</v>
      </c>
      <c r="D9" t="s">
        <v>177</v>
      </c>
    </row>
    <row r="10" spans="1:4" ht="30" customHeight="1" x14ac:dyDescent="0.35">
      <c r="A10" s="6">
        <v>7</v>
      </c>
      <c r="B10" s="11" t="s">
        <v>134</v>
      </c>
      <c r="C10" s="2" t="s">
        <v>135</v>
      </c>
      <c r="D10" t="s">
        <v>177</v>
      </c>
    </row>
    <row r="11" spans="1:4" ht="30" customHeight="1" x14ac:dyDescent="0.35">
      <c r="A11" s="6">
        <v>8</v>
      </c>
      <c r="B11" s="11" t="s">
        <v>136</v>
      </c>
      <c r="C11" s="2" t="s">
        <v>135</v>
      </c>
      <c r="D11" t="s">
        <v>177</v>
      </c>
    </row>
    <row r="12" spans="1:4" ht="30" customHeight="1" x14ac:dyDescent="0.35">
      <c r="A12" s="6">
        <v>9</v>
      </c>
      <c r="B12" s="11" t="s">
        <v>137</v>
      </c>
      <c r="C12" s="2" t="s">
        <v>135</v>
      </c>
      <c r="D12" t="s">
        <v>177</v>
      </c>
    </row>
    <row r="13" spans="1:4" ht="30" customHeight="1" x14ac:dyDescent="0.35">
      <c r="A13" s="6">
        <v>10</v>
      </c>
      <c r="B13" s="11" t="s">
        <v>138</v>
      </c>
      <c r="C13" s="2" t="s">
        <v>135</v>
      </c>
      <c r="D13" t="s">
        <v>177</v>
      </c>
    </row>
    <row r="14" spans="1:4" ht="30" customHeight="1" x14ac:dyDescent="0.35">
      <c r="A14" s="6">
        <v>11</v>
      </c>
      <c r="B14" s="7" t="s">
        <v>139</v>
      </c>
      <c r="C14" s="2" t="s">
        <v>130</v>
      </c>
      <c r="D14" t="s">
        <v>177</v>
      </c>
    </row>
    <row r="15" spans="1:4" ht="30" customHeight="1" x14ac:dyDescent="0.35">
      <c r="A15" s="6">
        <v>12</v>
      </c>
      <c r="B15" s="11" t="s">
        <v>140</v>
      </c>
      <c r="C15" s="2" t="s">
        <v>135</v>
      </c>
      <c r="D15" t="s">
        <v>177</v>
      </c>
    </row>
    <row r="16" spans="1:4" ht="30" customHeight="1" x14ac:dyDescent="0.35">
      <c r="A16" s="6">
        <v>13</v>
      </c>
      <c r="B16" s="11" t="s">
        <v>141</v>
      </c>
      <c r="C16" s="2" t="s">
        <v>127</v>
      </c>
      <c r="D16" t="s">
        <v>177</v>
      </c>
    </row>
    <row r="17" spans="1:4" ht="30" customHeight="1" x14ac:dyDescent="0.35">
      <c r="A17" s="6">
        <v>14</v>
      </c>
      <c r="B17" s="11" t="s">
        <v>142</v>
      </c>
      <c r="C17" s="2" t="s">
        <v>135</v>
      </c>
      <c r="D17" t="s">
        <v>177</v>
      </c>
    </row>
    <row r="18" spans="1:4" ht="30" customHeight="1" x14ac:dyDescent="0.35">
      <c r="A18" s="6">
        <v>15</v>
      </c>
      <c r="B18" s="11" t="s">
        <v>143</v>
      </c>
      <c r="C18" s="2" t="s">
        <v>130</v>
      </c>
      <c r="D18" t="s">
        <v>177</v>
      </c>
    </row>
    <row r="19" spans="1:4" ht="30" customHeight="1" x14ac:dyDescent="0.35">
      <c r="A19" s="6">
        <v>16</v>
      </c>
      <c r="B19" s="11" t="s">
        <v>144</v>
      </c>
      <c r="C19" s="2" t="s">
        <v>145</v>
      </c>
      <c r="D19" t="s">
        <v>177</v>
      </c>
    </row>
    <row r="20" spans="1:4" ht="30" customHeight="1" x14ac:dyDescent="0.35">
      <c r="A20" s="6">
        <v>17</v>
      </c>
      <c r="B20" s="7" t="s">
        <v>146</v>
      </c>
      <c r="C20" s="2" t="s">
        <v>130</v>
      </c>
      <c r="D20" t="s">
        <v>177</v>
      </c>
    </row>
    <row r="22" spans="1:4" x14ac:dyDescent="0.35">
      <c r="A22" s="26" t="s">
        <v>147</v>
      </c>
      <c r="B22" s="26"/>
      <c r="C22" s="26"/>
    </row>
  </sheetData>
  <mergeCells count="3">
    <mergeCell ref="A1:C1"/>
    <mergeCell ref="A2:C2"/>
    <mergeCell ref="A22:C2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0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26" customWidth="1"/>
    <col min="3" max="4" width="12" customWidth="1"/>
    <col min="5" max="5" width="9" customWidth="1"/>
    <col min="6" max="6" width="12" customWidth="1"/>
    <col min="7" max="7" width="13" customWidth="1"/>
    <col min="8" max="8" width="18" customWidth="1"/>
    <col min="9" max="10" width="12" customWidth="1"/>
    <col min="11" max="11" width="15" customWidth="1"/>
    <col min="12" max="12" width="11" customWidth="1"/>
    <col min="13" max="14" width="13" customWidth="1"/>
    <col min="15" max="16" width="11" customWidth="1"/>
    <col min="17" max="18" width="15" customWidth="1"/>
    <col min="19" max="19" width="14" customWidth="1"/>
    <col min="20" max="20" width="10" customWidth="1"/>
    <col min="21" max="21" width="13" customWidth="1"/>
    <col min="22" max="22" width="5" customWidth="1"/>
    <col min="23" max="23" width="16" customWidth="1"/>
    <col min="24" max="24" width="20" customWidth="1"/>
  </cols>
  <sheetData>
    <row r="1" spans="1:24" ht="28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148</v>
      </c>
      <c r="F1" s="3" t="s">
        <v>4</v>
      </c>
      <c r="G1" s="3" t="s">
        <v>10</v>
      </c>
      <c r="H1" s="3" t="s">
        <v>149</v>
      </c>
      <c r="I1" s="3" t="s">
        <v>8</v>
      </c>
      <c r="J1" s="3" t="s">
        <v>9</v>
      </c>
      <c r="K1" s="3" t="s">
        <v>11</v>
      </c>
      <c r="L1" s="3" t="s">
        <v>150</v>
      </c>
      <c r="M1" s="3" t="s">
        <v>151</v>
      </c>
      <c r="N1" s="3" t="s">
        <v>152</v>
      </c>
      <c r="O1" s="3" t="s">
        <v>153</v>
      </c>
      <c r="P1" s="3" t="s">
        <v>154</v>
      </c>
      <c r="Q1" s="3" t="s">
        <v>155</v>
      </c>
      <c r="R1" s="3" t="s">
        <v>156</v>
      </c>
      <c r="S1" s="3" t="s">
        <v>157</v>
      </c>
      <c r="T1" s="3" t="s">
        <v>158</v>
      </c>
      <c r="U1" s="5" t="s">
        <v>159</v>
      </c>
      <c r="W1" s="5" t="s">
        <v>160</v>
      </c>
      <c r="X1" s="5" t="s">
        <v>161</v>
      </c>
    </row>
    <row r="2" spans="1:24" x14ac:dyDescent="0.35">
      <c r="A2" s="8" t="str">
        <f>'Portfolio Data (Modified)'!A2</f>
        <v>T001</v>
      </c>
      <c r="B2" s="8" t="str">
        <f>'Portfolio Data (Modified)'!B2</f>
        <v>Horizon Corporate Suites</v>
      </c>
      <c r="C2" s="8" t="e">
        <f>PROPER(TRIM('Portfolio Data (Modified)'!#REF!))</f>
        <v>#REF!</v>
      </c>
      <c r="D2" s="8" t="e">
        <f>PROPER(TRIM('Portfolio Data (Modified)'!#REF!))</f>
        <v>#REF!</v>
      </c>
      <c r="E2" s="8" t="e">
        <f>PROPER(TRIM('Portfolio Data (Modified)'!#REF!))</f>
        <v>#REF!</v>
      </c>
      <c r="F2" s="8">
        <f>'Portfolio Data (Modified)'!E2</f>
        <v>49000</v>
      </c>
      <c r="G2" s="8">
        <f>'Portfolio Data (Modified)'!K2</f>
        <v>1980000</v>
      </c>
      <c r="H2" s="8" t="e">
        <f>IF('Portfolio Data (Modified)'!#REF!="","",PROPER('Portfolio Data (Modified)'!#REF!))</f>
        <v>#REF!</v>
      </c>
      <c r="I2" s="8" t="str">
        <f>'Portfolio Data (Modified)'!I2</f>
        <v>2021-06-01</v>
      </c>
      <c r="J2" s="8" t="str">
        <f>'Portfolio Data (Modified)'!J2</f>
        <v>2027-05-31</v>
      </c>
      <c r="K2" s="8" t="str">
        <f>IF('Portfolio Data (Modified)'!L2="","",'Portfolio Data (Modified)'!L2)</f>
        <v>Rajan Mehta</v>
      </c>
      <c r="L2" s="8" t="e">
        <f>IF(E2&lt;&gt;"Active","",ROUND(G2/VLOOKUP("USD",'FX Rate Table'!$A$2:$B$4,2,FALSE()),2))</f>
        <v>#REF!</v>
      </c>
      <c r="M2" s="8" t="e">
        <f t="shared" ref="M2:M24" si="0">IF(E2&lt;&gt;"Active","",G2*12)</f>
        <v>#REF!</v>
      </c>
      <c r="N2" s="8" t="e">
        <f t="shared" ref="N2:N24" si="1">IF(E2&lt;&gt;"Active","",L2*12)</f>
        <v>#REF!</v>
      </c>
      <c r="O2" s="8" t="e">
        <f t="shared" ref="O2:O24" si="2">IF(E2&lt;&gt;"Active","",ROUND((DATEVALUE(J2)-DATEVALUE(I2))/365.25,1))</f>
        <v>#REF!</v>
      </c>
      <c r="P2" s="8" t="e">
        <f t="shared" ref="P2:P24" si="3">IF(E2&lt;&gt;"Active","",IF(O2&gt;=3,"Long-Term","Short-Term"))</f>
        <v>#REF!</v>
      </c>
      <c r="Q2" s="8" t="e">
        <f t="shared" ref="Q2:Q24" si="4">IF(E2&lt;&gt;"Active","",IF(F2&gt;AVERAGEIF($E$2:$E$24,"Active",$F$2:$F$24),"Above Average Size",""))</f>
        <v>#REF!</v>
      </c>
      <c r="R2" s="8" t="e">
        <f t="shared" ref="R2:R24" si="5">IF(E2&lt;&gt;"Active","",IF(G2&gt;=PERCENTILE($U$2:$U$24,0.75),"Premium Account","Standard"))</f>
        <v>#REF!</v>
      </c>
      <c r="S2" s="8" t="e">
        <f>IF(OR('Portfolio Data (Modified)'!B2&lt;&gt;TRIM('Portfolio Data (Modified)'!B2),'Portfolio Data (Modified)'!#REF!&lt;&gt;PROPER(TRIM('Portfolio Data (Modified)'!#REF!))),"Needs Cleanup","")</f>
        <v>#REF!</v>
      </c>
      <c r="T2" s="8" t="e">
        <f t="shared" ref="T2:T24" si="6">IF(E2&lt;&gt;"Active","",YEAR(DATEVALUE(I2)))</f>
        <v>#REF!</v>
      </c>
      <c r="U2" s="8" t="e">
        <f t="shared" ref="U2:U24" si="7">IF(E2&lt;&gt;"Active","",G2)</f>
        <v>#REF!</v>
      </c>
      <c r="W2" t="e">
        <f t="shared" ref="W2:W24" si="8">IF(E2&lt;&gt;"Active","",ROUND(G2/F2,2))</f>
        <v>#REF!</v>
      </c>
      <c r="X2" t="str">
        <f t="shared" ref="X2:X24" si="9">TRIM(B2)</f>
        <v>Horizon Corporate Suites</v>
      </c>
    </row>
    <row r="3" spans="1:24" x14ac:dyDescent="0.35">
      <c r="A3" s="8" t="str">
        <f>'Portfolio Data (Modified)'!A3</f>
        <v>T002</v>
      </c>
      <c r="B3" s="8" t="str">
        <f>'Portfolio Data (Modified)'!B3</f>
        <v>Horizon Corporate Suites</v>
      </c>
      <c r="C3" s="8" t="e">
        <f>PROPER(TRIM('Portfolio Data (Modified)'!#REF!))</f>
        <v>#REF!</v>
      </c>
      <c r="D3" s="8" t="e">
        <f>PROPER(TRIM('Portfolio Data (Modified)'!#REF!))</f>
        <v>#REF!</v>
      </c>
      <c r="E3" s="8" t="e">
        <f>PROPER(TRIM('Portfolio Data (Modified)'!#REF!))</f>
        <v>#REF!</v>
      </c>
      <c r="F3" s="8">
        <f>'Portfolio Data (Modified)'!E3</f>
        <v>49000</v>
      </c>
      <c r="G3" s="8">
        <f>'Portfolio Data (Modified)'!K3</f>
        <v>1980000</v>
      </c>
      <c r="H3" s="8" t="e">
        <f>IF('Portfolio Data (Modified)'!#REF!="","",PROPER('Portfolio Data (Modified)'!#REF!))</f>
        <v>#REF!</v>
      </c>
      <c r="I3" s="8" t="str">
        <f>'Portfolio Data (Modified)'!I3</f>
        <v>2021-06-01</v>
      </c>
      <c r="J3" s="8" t="str">
        <f>'Portfolio Data (Modified)'!J3</f>
        <v>2027-05-31</v>
      </c>
      <c r="K3" s="8" t="str">
        <f>IF('Portfolio Data (Modified)'!L3="","",'Portfolio Data (Modified)'!L3)</f>
        <v>Rajan Mehta</v>
      </c>
      <c r="L3" s="8" t="e">
        <f>IF(E3&lt;&gt;"Active","",ROUND(G3/VLOOKUP("USD",'FX Rate Table'!$A$2:$B$4,2,FALSE()),2))</f>
        <v>#REF!</v>
      </c>
      <c r="M3" s="8" t="e">
        <f t="shared" si="0"/>
        <v>#REF!</v>
      </c>
      <c r="N3" s="8" t="e">
        <f t="shared" si="1"/>
        <v>#REF!</v>
      </c>
      <c r="O3" s="8" t="e">
        <f t="shared" si="2"/>
        <v>#REF!</v>
      </c>
      <c r="P3" s="8" t="e">
        <f t="shared" si="3"/>
        <v>#REF!</v>
      </c>
      <c r="Q3" s="8" t="e">
        <f t="shared" si="4"/>
        <v>#REF!</v>
      </c>
      <c r="R3" s="8" t="e">
        <f t="shared" si="5"/>
        <v>#REF!</v>
      </c>
      <c r="S3" s="8" t="e">
        <f>IF(OR('Portfolio Data (Modified)'!B3&lt;&gt;TRIM('Portfolio Data (Modified)'!B3),'Portfolio Data (Modified)'!#REF!&lt;&gt;PROPER(TRIM('Portfolio Data (Modified)'!#REF!))),"Needs Cleanup","")</f>
        <v>#REF!</v>
      </c>
      <c r="T3" s="8" t="e">
        <f t="shared" si="6"/>
        <v>#REF!</v>
      </c>
      <c r="U3" s="8" t="e">
        <f t="shared" si="7"/>
        <v>#REF!</v>
      </c>
      <c r="W3" t="e">
        <f t="shared" si="8"/>
        <v>#REF!</v>
      </c>
      <c r="X3" t="str">
        <f t="shared" si="9"/>
        <v>Horizon Corporate Suites</v>
      </c>
    </row>
    <row r="4" spans="1:24" x14ac:dyDescent="0.35">
      <c r="A4" s="8" t="str">
        <f>'Portfolio Data (Modified)'!A4</f>
        <v>T003</v>
      </c>
      <c r="B4" s="8" t="str">
        <f>'Portfolio Data (Modified)'!B4</f>
        <v>Meridian Trade Tower</v>
      </c>
      <c r="C4" s="8" t="e">
        <f>PROPER(TRIM('Portfolio Data (Modified)'!#REF!))</f>
        <v>#REF!</v>
      </c>
      <c r="D4" s="8" t="e">
        <f>PROPER(TRIM('Portfolio Data (Modified)'!#REF!))</f>
        <v>#REF!</v>
      </c>
      <c r="E4" s="8" t="e">
        <f>PROPER(TRIM('Portfolio Data (Modified)'!#REF!))</f>
        <v>#REF!</v>
      </c>
      <c r="F4" s="8">
        <f>'Portfolio Data (Modified)'!E4</f>
        <v>73000</v>
      </c>
      <c r="G4" s="8">
        <f>'Portfolio Data (Modified)'!K4</f>
        <v>3050000</v>
      </c>
      <c r="H4" s="8" t="e">
        <f>IF('Portfolio Data (Modified)'!#REF!="","",PROPER('Portfolio Data (Modified)'!#REF!))</f>
        <v>#REF!</v>
      </c>
      <c r="I4" s="8" t="str">
        <f>'Portfolio Data (Modified)'!I4</f>
        <v>2020-02-10</v>
      </c>
      <c r="J4" s="8" t="str">
        <f>'Portfolio Data (Modified)'!J4</f>
        <v>2028-02-09</v>
      </c>
      <c r="K4" s="8" t="str">
        <f>IF('Portfolio Data (Modified)'!L4="","",'Portfolio Data (Modified)'!L4)</f>
        <v>Kavya Rao</v>
      </c>
      <c r="L4" s="8" t="e">
        <f>IF(E4&lt;&gt;"Active","",ROUND(G4/VLOOKUP("USD",'FX Rate Table'!$A$2:$B$4,2,FALSE()),2))</f>
        <v>#REF!</v>
      </c>
      <c r="M4" s="8" t="e">
        <f t="shared" si="0"/>
        <v>#REF!</v>
      </c>
      <c r="N4" s="8" t="e">
        <f t="shared" si="1"/>
        <v>#REF!</v>
      </c>
      <c r="O4" s="8" t="e">
        <f t="shared" si="2"/>
        <v>#REF!</v>
      </c>
      <c r="P4" s="8" t="e">
        <f t="shared" si="3"/>
        <v>#REF!</v>
      </c>
      <c r="Q4" s="8" t="e">
        <f t="shared" si="4"/>
        <v>#REF!</v>
      </c>
      <c r="R4" s="8" t="e">
        <f t="shared" si="5"/>
        <v>#REF!</v>
      </c>
      <c r="S4" s="8" t="e">
        <f>IF(OR('Portfolio Data (Modified)'!B4&lt;&gt;TRIM('Portfolio Data (Modified)'!B4),'Portfolio Data (Modified)'!#REF!&lt;&gt;PROPER(TRIM('Portfolio Data (Modified)'!#REF!))),"Needs Cleanup","")</f>
        <v>#REF!</v>
      </c>
      <c r="T4" s="8" t="e">
        <f t="shared" si="6"/>
        <v>#REF!</v>
      </c>
      <c r="U4" s="8" t="e">
        <f t="shared" si="7"/>
        <v>#REF!</v>
      </c>
      <c r="W4" t="e">
        <f t="shared" si="8"/>
        <v>#REF!</v>
      </c>
      <c r="X4" t="str">
        <f t="shared" si="9"/>
        <v>Meridian Trade Tower</v>
      </c>
    </row>
    <row r="5" spans="1:24" x14ac:dyDescent="0.35">
      <c r="A5" s="8" t="str">
        <f>'Portfolio Data (Modified)'!A5</f>
        <v>T004</v>
      </c>
      <c r="B5" s="8" t="str">
        <f>'Portfolio Data (Modified)'!B5</f>
        <v xml:space="preserve">Meridian Trade Tower </v>
      </c>
      <c r="C5" s="8" t="e">
        <f>PROPER(TRIM('Portfolio Data (Modified)'!#REF!))</f>
        <v>#REF!</v>
      </c>
      <c r="D5" s="8" t="e">
        <f>PROPER(TRIM('Portfolio Data (Modified)'!#REF!))</f>
        <v>#REF!</v>
      </c>
      <c r="E5" s="8" t="e">
        <f>PROPER(TRIM('Portfolio Data (Modified)'!#REF!))</f>
        <v>#REF!</v>
      </c>
      <c r="F5" s="8">
        <f>'Portfolio Data (Modified)'!E5</f>
        <v>73000</v>
      </c>
      <c r="G5" s="8">
        <f>'Portfolio Data (Modified)'!K5</f>
        <v>3050000</v>
      </c>
      <c r="H5" s="8" t="e">
        <f>IF('Portfolio Data (Modified)'!#REF!="","",PROPER('Portfolio Data (Modified)'!#REF!))</f>
        <v>#REF!</v>
      </c>
      <c r="I5" s="8" t="str">
        <f>'Portfolio Data (Modified)'!I5</f>
        <v>2020-02-10</v>
      </c>
      <c r="J5" s="8" t="str">
        <f>'Portfolio Data (Modified)'!J5</f>
        <v>2028-02-09</v>
      </c>
      <c r="K5" s="8" t="str">
        <f>IF('Portfolio Data (Modified)'!L5="","",'Portfolio Data (Modified)'!L5)</f>
        <v>Kavya Rao</v>
      </c>
      <c r="L5" s="8" t="e">
        <f>IF(E5&lt;&gt;"Active","",ROUND(G5/VLOOKUP("USD",'FX Rate Table'!$A$2:$B$4,2,FALSE()),2))</f>
        <v>#REF!</v>
      </c>
      <c r="M5" s="8" t="e">
        <f t="shared" si="0"/>
        <v>#REF!</v>
      </c>
      <c r="N5" s="8" t="e">
        <f t="shared" si="1"/>
        <v>#REF!</v>
      </c>
      <c r="O5" s="8" t="e">
        <f t="shared" si="2"/>
        <v>#REF!</v>
      </c>
      <c r="P5" s="8" t="e">
        <f t="shared" si="3"/>
        <v>#REF!</v>
      </c>
      <c r="Q5" s="8" t="e">
        <f t="shared" si="4"/>
        <v>#REF!</v>
      </c>
      <c r="R5" s="8" t="e">
        <f t="shared" si="5"/>
        <v>#REF!</v>
      </c>
      <c r="S5" s="8" t="e">
        <f>IF(OR('Portfolio Data (Modified)'!B5&lt;&gt;TRIM('Portfolio Data (Modified)'!B5),'Portfolio Data (Modified)'!#REF!&lt;&gt;PROPER(TRIM('Portfolio Data (Modified)'!#REF!))),"Needs Cleanup","")</f>
        <v>#REF!</v>
      </c>
      <c r="T5" s="8" t="e">
        <f t="shared" si="6"/>
        <v>#REF!</v>
      </c>
      <c r="U5" s="8" t="e">
        <f t="shared" si="7"/>
        <v>#REF!</v>
      </c>
      <c r="W5" t="e">
        <f t="shared" si="8"/>
        <v>#REF!</v>
      </c>
      <c r="X5" t="str">
        <f t="shared" si="9"/>
        <v>Meridian Trade Tower</v>
      </c>
    </row>
    <row r="6" spans="1:24" x14ac:dyDescent="0.35">
      <c r="A6" s="8" t="str">
        <f>'Portfolio Data (Modified)'!A6</f>
        <v>T005</v>
      </c>
      <c r="B6" s="8" t="str">
        <f>'Portfolio Data (Modified)'!B6</f>
        <v>Cedar Grove Outlet</v>
      </c>
      <c r="C6" s="8" t="e">
        <f>PROPER(TRIM('Portfolio Data (Modified)'!#REF!))</f>
        <v>#REF!</v>
      </c>
      <c r="D6" s="8" t="e">
        <f>PROPER(TRIM('Portfolio Data (Modified)'!#REF!))</f>
        <v>#REF!</v>
      </c>
      <c r="E6" s="8" t="e">
        <f>PROPER(TRIM('Portfolio Data (Modified)'!#REF!))</f>
        <v>#REF!</v>
      </c>
      <c r="F6" s="8">
        <f>'Portfolio Data (Modified)'!E6</f>
        <v>21000</v>
      </c>
      <c r="G6" s="8">
        <f>'Portfolio Data (Modified)'!K6</f>
        <v>890000</v>
      </c>
      <c r="H6" s="8" t="e">
        <f>IF('Portfolio Data (Modified)'!#REF!="","",PROPER('Portfolio Data (Modified)'!#REF!))</f>
        <v>#REF!</v>
      </c>
      <c r="I6" s="8" t="str">
        <f>'Portfolio Data (Modified)'!I6</f>
        <v>2023-09-01</v>
      </c>
      <c r="J6" s="8" t="str">
        <f>'Portfolio Data (Modified)'!J6</f>
        <v>2025-08-31</v>
      </c>
      <c r="K6" s="8" t="str">
        <f>IF('Portfolio Data (Modified)'!L6="","",'Portfolio Data (Modified)'!L6)</f>
        <v/>
      </c>
      <c r="L6" s="8" t="e">
        <f>IF(E6&lt;&gt;"Active","",ROUND(G6/VLOOKUP("USD",'FX Rate Table'!$A$2:$B$4,2,FALSE()),2))</f>
        <v>#REF!</v>
      </c>
      <c r="M6" s="8" t="e">
        <f t="shared" si="0"/>
        <v>#REF!</v>
      </c>
      <c r="N6" s="8" t="e">
        <f t="shared" si="1"/>
        <v>#REF!</v>
      </c>
      <c r="O6" s="8" t="e">
        <f t="shared" si="2"/>
        <v>#REF!</v>
      </c>
      <c r="P6" s="8" t="e">
        <f t="shared" si="3"/>
        <v>#REF!</v>
      </c>
      <c r="Q6" s="8" t="e">
        <f t="shared" si="4"/>
        <v>#REF!</v>
      </c>
      <c r="R6" s="8" t="e">
        <f t="shared" si="5"/>
        <v>#REF!</v>
      </c>
      <c r="S6" s="8" t="e">
        <f>IF(OR('Portfolio Data (Modified)'!B6&lt;&gt;TRIM('Portfolio Data (Modified)'!B6),'Portfolio Data (Modified)'!#REF!&lt;&gt;PROPER(TRIM('Portfolio Data (Modified)'!#REF!))),"Needs Cleanup","")</f>
        <v>#REF!</v>
      </c>
      <c r="T6" s="8" t="e">
        <f t="shared" si="6"/>
        <v>#REF!</v>
      </c>
      <c r="U6" s="8" t="e">
        <f t="shared" si="7"/>
        <v>#REF!</v>
      </c>
      <c r="W6" t="e">
        <f t="shared" si="8"/>
        <v>#REF!</v>
      </c>
      <c r="X6" t="str">
        <f t="shared" si="9"/>
        <v>Cedar Grove Outlet</v>
      </c>
    </row>
    <row r="7" spans="1:24" x14ac:dyDescent="0.35">
      <c r="A7" s="8" t="str">
        <f>'Portfolio Data (Modified)'!A7</f>
        <v>T006</v>
      </c>
      <c r="B7" s="8" t="str">
        <f>'Portfolio Data (Modified)'!B7</f>
        <v>Cedar Grove Outlet</v>
      </c>
      <c r="C7" s="8" t="e">
        <f>PROPER(TRIM('Portfolio Data (Modified)'!#REF!))</f>
        <v>#REF!</v>
      </c>
      <c r="D7" s="8" t="e">
        <f>PROPER(TRIM('Portfolio Data (Modified)'!#REF!))</f>
        <v>#REF!</v>
      </c>
      <c r="E7" s="8" t="e">
        <f>PROPER(TRIM('Portfolio Data (Modified)'!#REF!))</f>
        <v>#REF!</v>
      </c>
      <c r="F7" s="8">
        <f>'Portfolio Data (Modified)'!E7</f>
        <v>21000</v>
      </c>
      <c r="G7" s="8">
        <f>'Portfolio Data (Modified)'!K7</f>
        <v>890000</v>
      </c>
      <c r="H7" s="8" t="e">
        <f>IF('Portfolio Data (Modified)'!#REF!="","",PROPER('Portfolio Data (Modified)'!#REF!))</f>
        <v>#REF!</v>
      </c>
      <c r="I7" s="8" t="str">
        <f>'Portfolio Data (Modified)'!I7</f>
        <v>2023-09-01</v>
      </c>
      <c r="J7" s="8" t="str">
        <f>'Portfolio Data (Modified)'!J7</f>
        <v>2025-08-31</v>
      </c>
      <c r="K7" s="8" t="str">
        <f>IF('Portfolio Data (Modified)'!L7="","",'Portfolio Data (Modified)'!L7)</f>
        <v/>
      </c>
      <c r="L7" s="8" t="e">
        <f>IF(E7&lt;&gt;"Active","",ROUND(G7/VLOOKUP("USD",'FX Rate Table'!$A$2:$B$4,2,FALSE()),2))</f>
        <v>#REF!</v>
      </c>
      <c r="M7" s="8" t="e">
        <f t="shared" si="0"/>
        <v>#REF!</v>
      </c>
      <c r="N7" s="8" t="e">
        <f t="shared" si="1"/>
        <v>#REF!</v>
      </c>
      <c r="O7" s="8" t="e">
        <f t="shared" si="2"/>
        <v>#REF!</v>
      </c>
      <c r="P7" s="8" t="e">
        <f t="shared" si="3"/>
        <v>#REF!</v>
      </c>
      <c r="Q7" s="8" t="e">
        <f t="shared" si="4"/>
        <v>#REF!</v>
      </c>
      <c r="R7" s="8" t="e">
        <f t="shared" si="5"/>
        <v>#REF!</v>
      </c>
      <c r="S7" s="8" t="e">
        <f>IF(OR('Portfolio Data (Modified)'!B7&lt;&gt;TRIM('Portfolio Data (Modified)'!B7),'Portfolio Data (Modified)'!#REF!&lt;&gt;PROPER(TRIM('Portfolio Data (Modified)'!#REF!))),"Needs Cleanup","")</f>
        <v>#REF!</v>
      </c>
      <c r="T7" s="8" t="e">
        <f t="shared" si="6"/>
        <v>#REF!</v>
      </c>
      <c r="U7" s="8" t="e">
        <f t="shared" si="7"/>
        <v>#REF!</v>
      </c>
      <c r="W7" t="e">
        <f t="shared" si="8"/>
        <v>#REF!</v>
      </c>
      <c r="X7" t="str">
        <f t="shared" si="9"/>
        <v>Cedar Grove Outlet</v>
      </c>
    </row>
    <row r="8" spans="1:24" x14ac:dyDescent="0.35">
      <c r="A8" s="8" t="str">
        <f>'Portfolio Data (Modified)'!A8</f>
        <v>T007</v>
      </c>
      <c r="B8" s="8" t="str">
        <f>'Portfolio Data (Modified)'!B8</f>
        <v>Portside Storage Hub</v>
      </c>
      <c r="C8" s="8" t="e">
        <f>PROPER(TRIM('Portfolio Data (Modified)'!#REF!))</f>
        <v>#REF!</v>
      </c>
      <c r="D8" s="8" t="e">
        <f>PROPER(TRIM('Portfolio Data (Modified)'!#REF!))</f>
        <v>#REF!</v>
      </c>
      <c r="E8" s="8" t="e">
        <f>PROPER(TRIM('Portfolio Data (Modified)'!#REF!))</f>
        <v>#REF!</v>
      </c>
      <c r="F8" s="8">
        <f>'Portfolio Data (Modified)'!E8</f>
        <v>158000</v>
      </c>
      <c r="G8" s="8">
        <f>'Portfolio Data (Modified)'!K8</f>
        <v>3980000</v>
      </c>
      <c r="H8" s="8" t="e">
        <f>IF('Portfolio Data (Modified)'!#REF!="","",PROPER('Portfolio Data (Modified)'!#REF!))</f>
        <v>#REF!</v>
      </c>
      <c r="I8" s="8" t="str">
        <f>'Portfolio Data (Modified)'!I8</f>
        <v>2019-04-15</v>
      </c>
      <c r="J8" s="8" t="str">
        <f>'Portfolio Data (Modified)'!J8</f>
        <v>2029-04-14</v>
      </c>
      <c r="K8" s="8" t="str">
        <f>IF('Portfolio Data (Modified)'!L8="","",'Portfolio Data (Modified)'!L8)</f>
        <v>Imran Sheikh</v>
      </c>
      <c r="L8" s="8" t="e">
        <f>IF(E8&lt;&gt;"Active","",ROUND(G8/VLOOKUP("USD",'FX Rate Table'!$A$2:$B$4,2,FALSE()),2))</f>
        <v>#REF!</v>
      </c>
      <c r="M8" s="8" t="e">
        <f t="shared" si="0"/>
        <v>#REF!</v>
      </c>
      <c r="N8" s="8" t="e">
        <f t="shared" si="1"/>
        <v>#REF!</v>
      </c>
      <c r="O8" s="8" t="e">
        <f t="shared" si="2"/>
        <v>#REF!</v>
      </c>
      <c r="P8" s="8" t="e">
        <f t="shared" si="3"/>
        <v>#REF!</v>
      </c>
      <c r="Q8" s="8" t="e">
        <f t="shared" si="4"/>
        <v>#REF!</v>
      </c>
      <c r="R8" s="8" t="e">
        <f t="shared" si="5"/>
        <v>#REF!</v>
      </c>
      <c r="S8" s="8" t="e">
        <f>IF(OR('Portfolio Data (Modified)'!B8&lt;&gt;TRIM('Portfolio Data (Modified)'!B8),'Portfolio Data (Modified)'!#REF!&lt;&gt;PROPER(TRIM('Portfolio Data (Modified)'!#REF!))),"Needs Cleanup","")</f>
        <v>#REF!</v>
      </c>
      <c r="T8" s="8" t="e">
        <f t="shared" si="6"/>
        <v>#REF!</v>
      </c>
      <c r="U8" s="8" t="e">
        <f t="shared" si="7"/>
        <v>#REF!</v>
      </c>
      <c r="W8" t="e">
        <f t="shared" si="8"/>
        <v>#REF!</v>
      </c>
      <c r="X8" t="str">
        <f t="shared" si="9"/>
        <v>Portside Storage Hub</v>
      </c>
    </row>
    <row r="9" spans="1:24" x14ac:dyDescent="0.35">
      <c r="A9" s="8" t="str">
        <f>'Portfolio Data (Modified)'!A9</f>
        <v>T008</v>
      </c>
      <c r="B9" s="8" t="str">
        <f>'Portfolio Data (Modified)'!B9</f>
        <v>Portside Storage Hub</v>
      </c>
      <c r="C9" s="8" t="e">
        <f>PROPER(TRIM('Portfolio Data (Modified)'!#REF!))</f>
        <v>#REF!</v>
      </c>
      <c r="D9" s="8" t="e">
        <f>PROPER(TRIM('Portfolio Data (Modified)'!#REF!))</f>
        <v>#REF!</v>
      </c>
      <c r="E9" s="8" t="e">
        <f>PROPER(TRIM('Portfolio Data (Modified)'!#REF!))</f>
        <v>#REF!</v>
      </c>
      <c r="F9" s="8">
        <f>'Portfolio Data (Modified)'!E9</f>
        <v>158000</v>
      </c>
      <c r="G9" s="8">
        <f>'Portfolio Data (Modified)'!K9</f>
        <v>3980000</v>
      </c>
      <c r="H9" s="8" t="e">
        <f>IF('Portfolio Data (Modified)'!#REF!="","",PROPER('Portfolio Data (Modified)'!#REF!))</f>
        <v>#REF!</v>
      </c>
      <c r="I9" s="8" t="str">
        <f>'Portfolio Data (Modified)'!I9</f>
        <v>2019-04-15</v>
      </c>
      <c r="J9" s="8" t="str">
        <f>'Portfolio Data (Modified)'!J9</f>
        <v>2029-04-14</v>
      </c>
      <c r="K9" s="8" t="str">
        <f>IF('Portfolio Data (Modified)'!L9="","",'Portfolio Data (Modified)'!L9)</f>
        <v>Imran Sheikh</v>
      </c>
      <c r="L9" s="8" t="e">
        <f>IF(E9&lt;&gt;"Active","",ROUND(G9/VLOOKUP("USD",'FX Rate Table'!$A$2:$B$4,2,FALSE()),2))</f>
        <v>#REF!</v>
      </c>
      <c r="M9" s="8" t="e">
        <f t="shared" si="0"/>
        <v>#REF!</v>
      </c>
      <c r="N9" s="8" t="e">
        <f t="shared" si="1"/>
        <v>#REF!</v>
      </c>
      <c r="O9" s="8" t="e">
        <f t="shared" si="2"/>
        <v>#REF!</v>
      </c>
      <c r="P9" s="8" t="e">
        <f t="shared" si="3"/>
        <v>#REF!</v>
      </c>
      <c r="Q9" s="8" t="e">
        <f t="shared" si="4"/>
        <v>#REF!</v>
      </c>
      <c r="R9" s="8" t="e">
        <f t="shared" si="5"/>
        <v>#REF!</v>
      </c>
      <c r="S9" s="8" t="e">
        <f>IF(OR('Portfolio Data (Modified)'!B9&lt;&gt;TRIM('Portfolio Data (Modified)'!B9),'Portfolio Data (Modified)'!#REF!&lt;&gt;PROPER(TRIM('Portfolio Data (Modified)'!#REF!))),"Needs Cleanup","")</f>
        <v>#REF!</v>
      </c>
      <c r="T9" s="8" t="e">
        <f t="shared" si="6"/>
        <v>#REF!</v>
      </c>
      <c r="U9" s="8" t="e">
        <f t="shared" si="7"/>
        <v>#REF!</v>
      </c>
      <c r="W9" t="e">
        <f t="shared" si="8"/>
        <v>#REF!</v>
      </c>
      <c r="X9" t="str">
        <f t="shared" si="9"/>
        <v>Portside Storage Hub</v>
      </c>
    </row>
    <row r="10" spans="1:24" x14ac:dyDescent="0.35">
      <c r="A10" s="8" t="str">
        <f>'Portfolio Data (Modified)'!A10</f>
        <v>T009</v>
      </c>
      <c r="B10" s="8" t="str">
        <f>'Portfolio Data (Modified)'!B10</f>
        <v>Willowbrook IT Park</v>
      </c>
      <c r="C10" s="8" t="e">
        <f>PROPER(TRIM('Portfolio Data (Modified)'!#REF!))</f>
        <v>#REF!</v>
      </c>
      <c r="D10" s="8" t="e">
        <f>PROPER(TRIM('Portfolio Data (Modified)'!#REF!))</f>
        <v>#REF!</v>
      </c>
      <c r="E10" s="8" t="e">
        <f>PROPER(TRIM('Portfolio Data (Modified)'!#REF!))</f>
        <v>#REF!</v>
      </c>
      <c r="F10" s="8">
        <f>'Portfolio Data (Modified)'!E10</f>
        <v>51000</v>
      </c>
      <c r="G10" s="8">
        <f>'Portfolio Data (Modified)'!K10</f>
        <v>2040000</v>
      </c>
      <c r="H10" s="8" t="e">
        <f>IF('Portfolio Data (Modified)'!#REF!="","",PROPER('Portfolio Data (Modified)'!#REF!))</f>
        <v>#REF!</v>
      </c>
      <c r="I10" s="8" t="str">
        <f>'Portfolio Data (Modified)'!I10</f>
        <v>2022-11-01</v>
      </c>
      <c r="J10" s="8" t="str">
        <f>'Portfolio Data (Modified)'!J10</f>
        <v>2025-10-31</v>
      </c>
      <c r="K10" s="8" t="str">
        <f>IF('Portfolio Data (Modified)'!L10="","",'Portfolio Data (Modified)'!L10)</f>
        <v>Sneha Kulkarni</v>
      </c>
      <c r="L10" s="8" t="e">
        <f>IF(E10&lt;&gt;"Active","",ROUND(G10/VLOOKUP("USD",'FX Rate Table'!$A$2:$B$4,2,FALSE()),2))</f>
        <v>#REF!</v>
      </c>
      <c r="M10" s="8" t="e">
        <f t="shared" si="0"/>
        <v>#REF!</v>
      </c>
      <c r="N10" s="8" t="e">
        <f t="shared" si="1"/>
        <v>#REF!</v>
      </c>
      <c r="O10" s="8" t="e">
        <f t="shared" si="2"/>
        <v>#REF!</v>
      </c>
      <c r="P10" s="8" t="e">
        <f t="shared" si="3"/>
        <v>#REF!</v>
      </c>
      <c r="Q10" s="8" t="e">
        <f t="shared" si="4"/>
        <v>#REF!</v>
      </c>
      <c r="R10" s="8" t="e">
        <f t="shared" si="5"/>
        <v>#REF!</v>
      </c>
      <c r="S10" s="8" t="e">
        <f>IF(OR('Portfolio Data (Modified)'!B10&lt;&gt;TRIM('Portfolio Data (Modified)'!B10),'Portfolio Data (Modified)'!#REF!&lt;&gt;PROPER(TRIM('Portfolio Data (Modified)'!#REF!))),"Needs Cleanup","")</f>
        <v>#REF!</v>
      </c>
      <c r="T10" s="8" t="e">
        <f t="shared" si="6"/>
        <v>#REF!</v>
      </c>
      <c r="U10" s="8" t="e">
        <f t="shared" si="7"/>
        <v>#REF!</v>
      </c>
      <c r="W10" t="e">
        <f t="shared" si="8"/>
        <v>#REF!</v>
      </c>
      <c r="X10" t="str">
        <f t="shared" si="9"/>
        <v>Willowbrook IT Park</v>
      </c>
    </row>
    <row r="11" spans="1:24" x14ac:dyDescent="0.35">
      <c r="A11" s="8" t="str">
        <f>'Portfolio Data (Modified)'!A11</f>
        <v>T010</v>
      </c>
      <c r="B11" s="8" t="str">
        <f>'Portfolio Data (Modified)'!B11</f>
        <v>Willowbrook IT Park</v>
      </c>
      <c r="C11" s="8" t="e">
        <f>PROPER(TRIM('Portfolio Data (Modified)'!#REF!))</f>
        <v>#REF!</v>
      </c>
      <c r="D11" s="8" t="e">
        <f>PROPER(TRIM('Portfolio Data (Modified)'!#REF!))</f>
        <v>#REF!</v>
      </c>
      <c r="E11" s="8" t="e">
        <f>PROPER(TRIM('Portfolio Data (Modified)'!#REF!))</f>
        <v>#REF!</v>
      </c>
      <c r="F11" s="8">
        <f>'Portfolio Data (Modified)'!E11</f>
        <v>51000</v>
      </c>
      <c r="G11" s="8">
        <f>'Portfolio Data (Modified)'!K11</f>
        <v>2040000</v>
      </c>
      <c r="H11" s="8" t="e">
        <f>IF('Portfolio Data (Modified)'!#REF!="","",PROPER('Portfolio Data (Modified)'!#REF!))</f>
        <v>#REF!</v>
      </c>
      <c r="I11" s="8" t="str">
        <f>'Portfolio Data (Modified)'!I11</f>
        <v>2022-11-01</v>
      </c>
      <c r="J11" s="8" t="str">
        <f>'Portfolio Data (Modified)'!J11</f>
        <v>2025-10-31</v>
      </c>
      <c r="K11" s="8" t="str">
        <f>IF('Portfolio Data (Modified)'!L11="","",'Portfolio Data (Modified)'!L11)</f>
        <v>Sneha Kulkarni</v>
      </c>
      <c r="L11" s="8" t="e">
        <f>IF(E11&lt;&gt;"Active","",ROUND(G11/VLOOKUP("USD",'FX Rate Table'!$A$2:$B$4,2,FALSE()),2))</f>
        <v>#REF!</v>
      </c>
      <c r="M11" s="8" t="e">
        <f t="shared" si="0"/>
        <v>#REF!</v>
      </c>
      <c r="N11" s="8" t="e">
        <f t="shared" si="1"/>
        <v>#REF!</v>
      </c>
      <c r="O11" s="8" t="e">
        <f t="shared" si="2"/>
        <v>#REF!</v>
      </c>
      <c r="P11" s="8" t="e">
        <f t="shared" si="3"/>
        <v>#REF!</v>
      </c>
      <c r="Q11" s="8" t="e">
        <f t="shared" si="4"/>
        <v>#REF!</v>
      </c>
      <c r="R11" s="8" t="e">
        <f t="shared" si="5"/>
        <v>#REF!</v>
      </c>
      <c r="S11" s="8" t="e">
        <f>IF(OR('Portfolio Data (Modified)'!B11&lt;&gt;TRIM('Portfolio Data (Modified)'!B11),'Portfolio Data (Modified)'!#REF!&lt;&gt;PROPER(TRIM('Portfolio Data (Modified)'!#REF!))),"Needs Cleanup","")</f>
        <v>#REF!</v>
      </c>
      <c r="T11" s="8" t="e">
        <f t="shared" si="6"/>
        <v>#REF!</v>
      </c>
      <c r="U11" s="8" t="e">
        <f t="shared" si="7"/>
        <v>#REF!</v>
      </c>
      <c r="W11" t="e">
        <f t="shared" si="8"/>
        <v>#REF!</v>
      </c>
      <c r="X11" t="str">
        <f t="shared" si="9"/>
        <v>Willowbrook IT Park</v>
      </c>
    </row>
    <row r="12" spans="1:24" x14ac:dyDescent="0.35">
      <c r="A12" s="8" t="str">
        <f>'Portfolio Data (Modified)'!A12</f>
        <v>T011</v>
      </c>
      <c r="B12" s="8" t="str">
        <f>'Portfolio Data (Modified)'!B12</f>
        <v>Clover Street Mall</v>
      </c>
      <c r="C12" s="8" t="e">
        <f>PROPER(TRIM('Portfolio Data (Modified)'!#REF!))</f>
        <v>#REF!</v>
      </c>
      <c r="D12" s="8" t="e">
        <f>PROPER(TRIM('Portfolio Data (Modified)'!#REF!))</f>
        <v>#REF!</v>
      </c>
      <c r="E12" s="8" t="e">
        <f>PROPER(TRIM('Portfolio Data (Modified)'!#REF!))</f>
        <v>#REF!</v>
      </c>
      <c r="F12" s="8">
        <f>'Portfolio Data (Modified)'!E12</f>
        <v>33000</v>
      </c>
      <c r="G12" s="8">
        <f>'Portfolio Data (Modified)'!K12</f>
        <v>1410000</v>
      </c>
      <c r="H12" s="8" t="e">
        <f>IF('Portfolio Data (Modified)'!#REF!="","",PROPER('Portfolio Data (Modified)'!#REF!))</f>
        <v>#REF!</v>
      </c>
      <c r="I12" s="8" t="str">
        <f>'Portfolio Data (Modified)'!I12</f>
        <v>2024-02-01</v>
      </c>
      <c r="J12" s="8" t="str">
        <f>'Portfolio Data (Modified)'!J12</f>
        <v>2026-01-31</v>
      </c>
      <c r="K12" s="8" t="str">
        <f>IF('Portfolio Data (Modified)'!L12="","",'Portfolio Data (Modified)'!L12)</f>
        <v>Farhan Ali</v>
      </c>
      <c r="L12" s="8" t="e">
        <f>IF(E12&lt;&gt;"Active","",ROUND(G12/VLOOKUP("USD",'FX Rate Table'!$A$2:$B$4,2,FALSE()),2))</f>
        <v>#REF!</v>
      </c>
      <c r="M12" s="8" t="e">
        <f t="shared" si="0"/>
        <v>#REF!</v>
      </c>
      <c r="N12" s="8" t="e">
        <f t="shared" si="1"/>
        <v>#REF!</v>
      </c>
      <c r="O12" s="8" t="e">
        <f t="shared" si="2"/>
        <v>#REF!</v>
      </c>
      <c r="P12" s="8" t="e">
        <f t="shared" si="3"/>
        <v>#REF!</v>
      </c>
      <c r="Q12" s="8" t="e">
        <f t="shared" si="4"/>
        <v>#REF!</v>
      </c>
      <c r="R12" s="8" t="e">
        <f t="shared" si="5"/>
        <v>#REF!</v>
      </c>
      <c r="S12" s="8" t="e">
        <f>IF(OR('Portfolio Data (Modified)'!B12&lt;&gt;TRIM('Portfolio Data (Modified)'!B12),'Portfolio Data (Modified)'!#REF!&lt;&gt;PROPER(TRIM('Portfolio Data (Modified)'!#REF!))),"Needs Cleanup","")</f>
        <v>#REF!</v>
      </c>
      <c r="T12" s="8" t="e">
        <f t="shared" si="6"/>
        <v>#REF!</v>
      </c>
      <c r="U12" s="8" t="e">
        <f t="shared" si="7"/>
        <v>#REF!</v>
      </c>
      <c r="W12" t="e">
        <f t="shared" si="8"/>
        <v>#REF!</v>
      </c>
      <c r="X12" t="str">
        <f t="shared" si="9"/>
        <v>Clover Street Mall</v>
      </c>
    </row>
    <row r="13" spans="1:24" x14ac:dyDescent="0.35">
      <c r="A13" s="8" t="str">
        <f>'Portfolio Data (Modified)'!A13</f>
        <v>T012</v>
      </c>
      <c r="B13" s="8" t="str">
        <f>'Portfolio Data (Modified)'!B13</f>
        <v>Clover Street Mall</v>
      </c>
      <c r="C13" s="8" t="e">
        <f>PROPER(TRIM('Portfolio Data (Modified)'!#REF!))</f>
        <v>#REF!</v>
      </c>
      <c r="D13" s="8" t="e">
        <f>PROPER(TRIM('Portfolio Data (Modified)'!#REF!))</f>
        <v>#REF!</v>
      </c>
      <c r="E13" s="8" t="e">
        <f>PROPER(TRIM('Portfolio Data (Modified)'!#REF!))</f>
        <v>#REF!</v>
      </c>
      <c r="F13" s="8">
        <f>'Portfolio Data (Modified)'!E13</f>
        <v>33000</v>
      </c>
      <c r="G13" s="8">
        <f>'Portfolio Data (Modified)'!K13</f>
        <v>0</v>
      </c>
      <c r="H13" s="8" t="e">
        <f>IF('Portfolio Data (Modified)'!#REF!="","",PROPER('Portfolio Data (Modified)'!#REF!))</f>
        <v>#REF!</v>
      </c>
      <c r="I13" s="8">
        <f>'Portfolio Data (Modified)'!I13</f>
        <v>0</v>
      </c>
      <c r="J13" s="8">
        <f>'Portfolio Data (Modified)'!J13</f>
        <v>0</v>
      </c>
      <c r="K13" s="8" t="str">
        <f>IF('Portfolio Data (Modified)'!L13="","",'Portfolio Data (Modified)'!L13)</f>
        <v>Farhan Ali</v>
      </c>
      <c r="L13" s="8" t="e">
        <f>IF(E13&lt;&gt;"Active","",ROUND(G13/VLOOKUP("USD",'FX Rate Table'!$A$2:$B$4,2,FALSE()),2))</f>
        <v>#REF!</v>
      </c>
      <c r="M13" s="8" t="e">
        <f t="shared" si="0"/>
        <v>#REF!</v>
      </c>
      <c r="N13" s="8" t="e">
        <f t="shared" si="1"/>
        <v>#REF!</v>
      </c>
      <c r="O13" s="8" t="e">
        <f t="shared" si="2"/>
        <v>#REF!</v>
      </c>
      <c r="P13" s="8" t="e">
        <f t="shared" si="3"/>
        <v>#REF!</v>
      </c>
      <c r="Q13" s="8" t="e">
        <f t="shared" si="4"/>
        <v>#REF!</v>
      </c>
      <c r="R13" s="8" t="e">
        <f t="shared" si="5"/>
        <v>#REF!</v>
      </c>
      <c r="S13" s="8" t="e">
        <f>IF(OR('Portfolio Data (Modified)'!B13&lt;&gt;TRIM('Portfolio Data (Modified)'!B13),'Portfolio Data (Modified)'!#REF!&lt;&gt;PROPER(TRIM('Portfolio Data (Modified)'!#REF!))),"Needs Cleanup","")</f>
        <v>#REF!</v>
      </c>
      <c r="T13" s="8" t="e">
        <f t="shared" si="6"/>
        <v>#REF!</v>
      </c>
      <c r="U13" s="8" t="e">
        <f t="shared" si="7"/>
        <v>#REF!</v>
      </c>
      <c r="W13" t="e">
        <f t="shared" si="8"/>
        <v>#REF!</v>
      </c>
      <c r="X13" t="str">
        <f t="shared" si="9"/>
        <v>Clover Street Mall</v>
      </c>
    </row>
    <row r="14" spans="1:24" x14ac:dyDescent="0.35">
      <c r="A14" s="8" t="str">
        <f>'Portfolio Data (Modified)'!A14</f>
        <v>T013</v>
      </c>
      <c r="B14" s="8" t="str">
        <f>'Portfolio Data (Modified)'!B14</f>
        <v>Ironbridge Logistics Center</v>
      </c>
      <c r="C14" s="8" t="e">
        <f>PROPER(TRIM('Portfolio Data (Modified)'!#REF!))</f>
        <v>#REF!</v>
      </c>
      <c r="D14" s="8" t="e">
        <f>PROPER(TRIM('Portfolio Data (Modified)'!#REF!))</f>
        <v>#REF!</v>
      </c>
      <c r="E14" s="8" t="e">
        <f>PROPER(TRIM('Portfolio Data (Modified)'!#REF!))</f>
        <v>#REF!</v>
      </c>
      <c r="F14" s="8">
        <f>'Portfolio Data (Modified)'!E14</f>
        <v>121000</v>
      </c>
      <c r="G14" s="8">
        <f>'Portfolio Data (Modified)'!K14</f>
        <v>3210000</v>
      </c>
      <c r="H14" s="8" t="e">
        <f>IF('Portfolio Data (Modified)'!#REF!="","",PROPER('Portfolio Data (Modified)'!#REF!))</f>
        <v>#REF!</v>
      </c>
      <c r="I14" s="8" t="str">
        <f>'Portfolio Data (Modified)'!I14</f>
        <v>2018-08-20</v>
      </c>
      <c r="J14" s="8" t="str">
        <f>'Portfolio Data (Modified)'!J14</f>
        <v>2028-08-19</v>
      </c>
      <c r="K14" s="8" t="str">
        <f>IF('Portfolio Data (Modified)'!L14="","",'Portfolio Data (Modified)'!L14)</f>
        <v/>
      </c>
      <c r="L14" s="8" t="e">
        <f>IF(E14&lt;&gt;"Active","",ROUND(G14/VLOOKUP("USD",'FX Rate Table'!$A$2:$B$4,2,FALSE()),2))</f>
        <v>#REF!</v>
      </c>
      <c r="M14" s="8" t="e">
        <f t="shared" si="0"/>
        <v>#REF!</v>
      </c>
      <c r="N14" s="8" t="e">
        <f t="shared" si="1"/>
        <v>#REF!</v>
      </c>
      <c r="O14" s="8" t="e">
        <f t="shared" si="2"/>
        <v>#REF!</v>
      </c>
      <c r="P14" s="8" t="e">
        <f t="shared" si="3"/>
        <v>#REF!</v>
      </c>
      <c r="Q14" s="8" t="e">
        <f t="shared" si="4"/>
        <v>#REF!</v>
      </c>
      <c r="R14" s="8" t="e">
        <f t="shared" si="5"/>
        <v>#REF!</v>
      </c>
      <c r="S14" s="8" t="e">
        <f>IF(OR('Portfolio Data (Modified)'!B14&lt;&gt;TRIM('Portfolio Data (Modified)'!B14),'Portfolio Data (Modified)'!#REF!&lt;&gt;PROPER(TRIM('Portfolio Data (Modified)'!#REF!))),"Needs Cleanup","")</f>
        <v>#REF!</v>
      </c>
      <c r="T14" s="8" t="e">
        <f t="shared" si="6"/>
        <v>#REF!</v>
      </c>
      <c r="U14" s="8" t="e">
        <f t="shared" si="7"/>
        <v>#REF!</v>
      </c>
      <c r="W14" t="e">
        <f t="shared" si="8"/>
        <v>#REF!</v>
      </c>
      <c r="X14" t="str">
        <f t="shared" si="9"/>
        <v>Ironbridge Logistics Center</v>
      </c>
    </row>
    <row r="15" spans="1:24" x14ac:dyDescent="0.35">
      <c r="A15" s="8" t="str">
        <f>'Portfolio Data (Modified)'!A15</f>
        <v>T014</v>
      </c>
      <c r="B15" s="8" t="str">
        <f>'Portfolio Data (Modified)'!B15</f>
        <v>Ironbridge Logistics Center</v>
      </c>
      <c r="C15" s="8" t="e">
        <f>PROPER(TRIM('Portfolio Data (Modified)'!#REF!))</f>
        <v>#REF!</v>
      </c>
      <c r="D15" s="8" t="e">
        <f>PROPER(TRIM('Portfolio Data (Modified)'!#REF!))</f>
        <v>#REF!</v>
      </c>
      <c r="E15" s="8" t="e">
        <f>PROPER(TRIM('Portfolio Data (Modified)'!#REF!))</f>
        <v>#REF!</v>
      </c>
      <c r="F15" s="8">
        <f>'Portfolio Data (Modified)'!E15</f>
        <v>121000</v>
      </c>
      <c r="G15" s="8">
        <f>'Portfolio Data (Modified)'!K15</f>
        <v>3210000</v>
      </c>
      <c r="H15" s="8" t="e">
        <f>IF('Portfolio Data (Modified)'!#REF!="","",PROPER('Portfolio Data (Modified)'!#REF!))</f>
        <v>#REF!</v>
      </c>
      <c r="I15" s="8" t="str">
        <f>'Portfolio Data (Modified)'!I15</f>
        <v>2018-08-20</v>
      </c>
      <c r="J15" s="8" t="str">
        <f>'Portfolio Data (Modified)'!J15</f>
        <v>2028-08-19</v>
      </c>
      <c r="K15" s="8" t="str">
        <f>IF('Portfolio Data (Modified)'!L15="","",'Portfolio Data (Modified)'!L15)</f>
        <v/>
      </c>
      <c r="L15" s="8" t="e">
        <f>IF(E15&lt;&gt;"Active","",ROUND(G15/VLOOKUP("USD",'FX Rate Table'!$A$2:$B$4,2,FALSE()),2))</f>
        <v>#REF!</v>
      </c>
      <c r="M15" s="8" t="e">
        <f t="shared" si="0"/>
        <v>#REF!</v>
      </c>
      <c r="N15" s="8" t="e">
        <f t="shared" si="1"/>
        <v>#REF!</v>
      </c>
      <c r="O15" s="8" t="e">
        <f t="shared" si="2"/>
        <v>#REF!</v>
      </c>
      <c r="P15" s="8" t="e">
        <f t="shared" si="3"/>
        <v>#REF!</v>
      </c>
      <c r="Q15" s="8" t="e">
        <f t="shared" si="4"/>
        <v>#REF!</v>
      </c>
      <c r="R15" s="8" t="e">
        <f t="shared" si="5"/>
        <v>#REF!</v>
      </c>
      <c r="S15" s="8" t="e">
        <f>IF(OR('Portfolio Data (Modified)'!B15&lt;&gt;TRIM('Portfolio Data (Modified)'!B15),'Portfolio Data (Modified)'!#REF!&lt;&gt;PROPER(TRIM('Portfolio Data (Modified)'!#REF!))),"Needs Cleanup","")</f>
        <v>#REF!</v>
      </c>
      <c r="T15" s="8" t="e">
        <f t="shared" si="6"/>
        <v>#REF!</v>
      </c>
      <c r="U15" s="8" t="e">
        <f t="shared" si="7"/>
        <v>#REF!</v>
      </c>
      <c r="W15" t="e">
        <f t="shared" si="8"/>
        <v>#REF!</v>
      </c>
      <c r="X15" t="str">
        <f t="shared" si="9"/>
        <v>Ironbridge Logistics Center</v>
      </c>
    </row>
    <row r="16" spans="1:24" x14ac:dyDescent="0.35">
      <c r="A16" s="8" t="str">
        <f>'Portfolio Data (Modified)'!A16</f>
        <v>T015</v>
      </c>
      <c r="B16" s="8" t="str">
        <f>'Portfolio Data (Modified)'!B16</f>
        <v>Skyward Business Tower</v>
      </c>
      <c r="C16" s="8" t="e">
        <f>PROPER(TRIM('Portfolio Data (Modified)'!#REF!))</f>
        <v>#REF!</v>
      </c>
      <c r="D16" s="8" t="e">
        <f>PROPER(TRIM('Portfolio Data (Modified)'!#REF!))</f>
        <v>#REF!</v>
      </c>
      <c r="E16" s="8" t="e">
        <f>PROPER(TRIM('Portfolio Data (Modified)'!#REF!))</f>
        <v>#REF!</v>
      </c>
      <c r="F16" s="8">
        <f>'Portfolio Data (Modified)'!E16</f>
        <v>66000</v>
      </c>
      <c r="G16" s="8">
        <f>'Portfolio Data (Modified)'!K16</f>
        <v>2760000</v>
      </c>
      <c r="H16" s="8" t="e">
        <f>IF('Portfolio Data (Modified)'!#REF!="","",PROPER('Portfolio Data (Modified)'!#REF!))</f>
        <v>#REF!</v>
      </c>
      <c r="I16" s="8" t="str">
        <f>'Portfolio Data (Modified)'!I16</f>
        <v>2023-01-15</v>
      </c>
      <c r="J16" s="8" t="str">
        <f>'Portfolio Data (Modified)'!J16</f>
        <v>2026-01-14</v>
      </c>
      <c r="K16" s="8" t="str">
        <f>IF('Portfolio Data (Modified)'!L16="","",'Portfolio Data (Modified)'!L16)</f>
        <v>Divya Reddy</v>
      </c>
      <c r="L16" s="8" t="e">
        <f>IF(E16&lt;&gt;"Active","",ROUND(G16/VLOOKUP("USD",'FX Rate Table'!$A$2:$B$4,2,FALSE()),2))</f>
        <v>#REF!</v>
      </c>
      <c r="M16" s="8" t="e">
        <f t="shared" si="0"/>
        <v>#REF!</v>
      </c>
      <c r="N16" s="8" t="e">
        <f t="shared" si="1"/>
        <v>#REF!</v>
      </c>
      <c r="O16" s="8" t="e">
        <f t="shared" si="2"/>
        <v>#REF!</v>
      </c>
      <c r="P16" s="8" t="e">
        <f t="shared" si="3"/>
        <v>#REF!</v>
      </c>
      <c r="Q16" s="8" t="e">
        <f t="shared" si="4"/>
        <v>#REF!</v>
      </c>
      <c r="R16" s="8" t="e">
        <f t="shared" si="5"/>
        <v>#REF!</v>
      </c>
      <c r="S16" s="8" t="e">
        <f>IF(OR('Portfolio Data (Modified)'!B16&lt;&gt;TRIM('Portfolio Data (Modified)'!B16),'Portfolio Data (Modified)'!#REF!&lt;&gt;PROPER(TRIM('Portfolio Data (Modified)'!#REF!))),"Needs Cleanup","")</f>
        <v>#REF!</v>
      </c>
      <c r="T16" s="8" t="e">
        <f t="shared" si="6"/>
        <v>#REF!</v>
      </c>
      <c r="U16" s="8" t="e">
        <f t="shared" si="7"/>
        <v>#REF!</v>
      </c>
      <c r="W16" t="e">
        <f t="shared" si="8"/>
        <v>#REF!</v>
      </c>
      <c r="X16" t="str">
        <f t="shared" si="9"/>
        <v>Skyward Business Tower</v>
      </c>
    </row>
    <row r="17" spans="1:24" x14ac:dyDescent="0.35">
      <c r="A17" s="8" t="str">
        <f>'Portfolio Data (Modified)'!A17</f>
        <v>T016</v>
      </c>
      <c r="B17" s="8" t="str">
        <f>'Portfolio Data (Modified)'!B17</f>
        <v>Skyward Business Tower</v>
      </c>
      <c r="C17" s="8" t="e">
        <f>PROPER(TRIM('Portfolio Data (Modified)'!#REF!))</f>
        <v>#REF!</v>
      </c>
      <c r="D17" s="8" t="e">
        <f>PROPER(TRIM('Portfolio Data (Modified)'!#REF!))</f>
        <v>#REF!</v>
      </c>
      <c r="E17" s="8" t="e">
        <f>PROPER(TRIM('Portfolio Data (Modified)'!#REF!))</f>
        <v>#REF!</v>
      </c>
      <c r="F17" s="8">
        <f>'Portfolio Data (Modified)'!E17</f>
        <v>66000</v>
      </c>
      <c r="G17" s="8">
        <f>'Portfolio Data (Modified)'!K17</f>
        <v>2760000</v>
      </c>
      <c r="H17" s="8" t="e">
        <f>IF('Portfolio Data (Modified)'!#REF!="","",PROPER('Portfolio Data (Modified)'!#REF!))</f>
        <v>#REF!</v>
      </c>
      <c r="I17" s="8" t="str">
        <f>'Portfolio Data (Modified)'!I17</f>
        <v>2023-01-15</v>
      </c>
      <c r="J17" s="8" t="str">
        <f>'Portfolio Data (Modified)'!J17</f>
        <v>2026-01-14</v>
      </c>
      <c r="K17" s="8" t="str">
        <f>IF('Portfolio Data (Modified)'!L17="","",'Portfolio Data (Modified)'!L17)</f>
        <v>Divya Reddy</v>
      </c>
      <c r="L17" s="8" t="e">
        <f>IF(E17&lt;&gt;"Active","",ROUND(G17/VLOOKUP("USD",'FX Rate Table'!$A$2:$B$4,2,FALSE()),2))</f>
        <v>#REF!</v>
      </c>
      <c r="M17" s="8" t="e">
        <f t="shared" si="0"/>
        <v>#REF!</v>
      </c>
      <c r="N17" s="8" t="e">
        <f t="shared" si="1"/>
        <v>#REF!</v>
      </c>
      <c r="O17" s="8" t="e">
        <f t="shared" si="2"/>
        <v>#REF!</v>
      </c>
      <c r="P17" s="8" t="e">
        <f t="shared" si="3"/>
        <v>#REF!</v>
      </c>
      <c r="Q17" s="8" t="e">
        <f t="shared" si="4"/>
        <v>#REF!</v>
      </c>
      <c r="R17" s="8" t="e">
        <f t="shared" si="5"/>
        <v>#REF!</v>
      </c>
      <c r="S17" s="8" t="e">
        <f>IF(OR('Portfolio Data (Modified)'!B17&lt;&gt;TRIM('Portfolio Data (Modified)'!B17),'Portfolio Data (Modified)'!#REF!&lt;&gt;PROPER(TRIM('Portfolio Data (Modified)'!#REF!))),"Needs Cleanup","")</f>
        <v>#REF!</v>
      </c>
      <c r="T17" s="8" t="e">
        <f t="shared" si="6"/>
        <v>#REF!</v>
      </c>
      <c r="U17" s="8" t="e">
        <f t="shared" si="7"/>
        <v>#REF!</v>
      </c>
      <c r="W17" t="e">
        <f t="shared" si="8"/>
        <v>#REF!</v>
      </c>
      <c r="X17" t="str">
        <f t="shared" si="9"/>
        <v>Skyward Business Tower</v>
      </c>
    </row>
    <row r="18" spans="1:24" x14ac:dyDescent="0.35">
      <c r="A18" s="8" t="str">
        <f>'Portfolio Data (Modified)'!A18</f>
        <v>T017</v>
      </c>
      <c r="B18" s="8" t="str">
        <f>'Portfolio Data (Modified)'!B18</f>
        <v>Seabreeze Shopping Court</v>
      </c>
      <c r="C18" s="8" t="e">
        <f>PROPER(TRIM('Portfolio Data (Modified)'!#REF!))</f>
        <v>#REF!</v>
      </c>
      <c r="D18" s="8" t="e">
        <f>PROPER(TRIM('Portfolio Data (Modified)'!#REF!))</f>
        <v>#REF!</v>
      </c>
      <c r="E18" s="8" t="e">
        <f>PROPER(TRIM('Portfolio Data (Modified)'!#REF!))</f>
        <v>#REF!</v>
      </c>
      <c r="F18" s="8">
        <f>'Portfolio Data (Modified)'!E18</f>
        <v>17500</v>
      </c>
      <c r="G18" s="8">
        <f>'Portfolio Data (Modified)'!K18</f>
        <v>760000</v>
      </c>
      <c r="H18" s="8" t="e">
        <f>IF('Portfolio Data (Modified)'!#REF!="","",PROPER('Portfolio Data (Modified)'!#REF!))</f>
        <v>#REF!</v>
      </c>
      <c r="I18" s="8" t="str">
        <f>'Portfolio Data (Modified)'!I18</f>
        <v>2024-06-01</v>
      </c>
      <c r="J18" s="8" t="str">
        <f>'Portfolio Data (Modified)'!J18</f>
        <v>2027-05-31</v>
      </c>
      <c r="K18" s="8" t="str">
        <f>IF('Portfolio Data (Modified)'!L18="","",'Portfolio Data (Modified)'!L18)</f>
        <v>Ganesh Pillai</v>
      </c>
      <c r="L18" s="8" t="e">
        <f>IF(E18&lt;&gt;"Active","",ROUND(G18/VLOOKUP("USD",'FX Rate Table'!$A$2:$B$4,2,FALSE()),2))</f>
        <v>#REF!</v>
      </c>
      <c r="M18" s="8" t="e">
        <f t="shared" si="0"/>
        <v>#REF!</v>
      </c>
      <c r="N18" s="8" t="e">
        <f t="shared" si="1"/>
        <v>#REF!</v>
      </c>
      <c r="O18" s="8" t="e">
        <f t="shared" si="2"/>
        <v>#REF!</v>
      </c>
      <c r="P18" s="8" t="e">
        <f t="shared" si="3"/>
        <v>#REF!</v>
      </c>
      <c r="Q18" s="8" t="e">
        <f t="shared" si="4"/>
        <v>#REF!</v>
      </c>
      <c r="R18" s="8" t="e">
        <f t="shared" si="5"/>
        <v>#REF!</v>
      </c>
      <c r="S18" s="8" t="e">
        <f>IF(OR('Portfolio Data (Modified)'!B18&lt;&gt;TRIM('Portfolio Data (Modified)'!B18),'Portfolio Data (Modified)'!#REF!&lt;&gt;PROPER(TRIM('Portfolio Data (Modified)'!#REF!))),"Needs Cleanup","")</f>
        <v>#REF!</v>
      </c>
      <c r="T18" s="8" t="e">
        <f t="shared" si="6"/>
        <v>#REF!</v>
      </c>
      <c r="U18" s="8" t="e">
        <f t="shared" si="7"/>
        <v>#REF!</v>
      </c>
      <c r="W18" t="e">
        <f t="shared" si="8"/>
        <v>#REF!</v>
      </c>
      <c r="X18" t="str">
        <f t="shared" si="9"/>
        <v>Seabreeze Shopping Court</v>
      </c>
    </row>
    <row r="19" spans="1:24" x14ac:dyDescent="0.35">
      <c r="A19" s="8" t="str">
        <f>'Portfolio Data (Modified)'!A19</f>
        <v>T018</v>
      </c>
      <c r="B19" s="8" t="str">
        <f>'Portfolio Data (Modified)'!B19</f>
        <v>Seabreeze Shopping Court</v>
      </c>
      <c r="C19" s="8" t="e">
        <f>PROPER(TRIM('Portfolio Data (Modified)'!#REF!))</f>
        <v>#REF!</v>
      </c>
      <c r="D19" s="8" t="e">
        <f>PROPER(TRIM('Portfolio Data (Modified)'!#REF!))</f>
        <v>#REF!</v>
      </c>
      <c r="E19" s="8" t="e">
        <f>PROPER(TRIM('Portfolio Data (Modified)'!#REF!))</f>
        <v>#REF!</v>
      </c>
      <c r="F19" s="8">
        <f>'Portfolio Data (Modified)'!E19</f>
        <v>17500</v>
      </c>
      <c r="G19" s="8">
        <f>'Portfolio Data (Modified)'!K19</f>
        <v>760000</v>
      </c>
      <c r="H19" s="8" t="e">
        <f>IF('Portfolio Data (Modified)'!#REF!="","",PROPER('Portfolio Data (Modified)'!#REF!))</f>
        <v>#REF!</v>
      </c>
      <c r="I19" s="8" t="str">
        <f>'Portfolio Data (Modified)'!I19</f>
        <v>2024-06-01</v>
      </c>
      <c r="J19" s="8" t="str">
        <f>'Portfolio Data (Modified)'!J19</f>
        <v>2027-05-31</v>
      </c>
      <c r="K19" s="8" t="str">
        <f>IF('Portfolio Data (Modified)'!L19="","",'Portfolio Data (Modified)'!L19)</f>
        <v>Ganesh Pillai</v>
      </c>
      <c r="L19" s="8" t="e">
        <f>IF(E19&lt;&gt;"Active","",ROUND(G19/VLOOKUP("USD",'FX Rate Table'!$A$2:$B$4,2,FALSE()),2))</f>
        <v>#REF!</v>
      </c>
      <c r="M19" s="8" t="e">
        <f t="shared" si="0"/>
        <v>#REF!</v>
      </c>
      <c r="N19" s="8" t="e">
        <f t="shared" si="1"/>
        <v>#REF!</v>
      </c>
      <c r="O19" s="8" t="e">
        <f t="shared" si="2"/>
        <v>#REF!</v>
      </c>
      <c r="P19" s="8" t="e">
        <f t="shared" si="3"/>
        <v>#REF!</v>
      </c>
      <c r="Q19" s="8" t="e">
        <f t="shared" si="4"/>
        <v>#REF!</v>
      </c>
      <c r="R19" s="8" t="e">
        <f t="shared" si="5"/>
        <v>#REF!</v>
      </c>
      <c r="S19" s="8" t="e">
        <f>IF(OR('Portfolio Data (Modified)'!B19&lt;&gt;TRIM('Portfolio Data (Modified)'!B19),'Portfolio Data (Modified)'!#REF!&lt;&gt;PROPER(TRIM('Portfolio Data (Modified)'!#REF!))),"Needs Cleanup","")</f>
        <v>#REF!</v>
      </c>
      <c r="T19" s="8" t="e">
        <f t="shared" si="6"/>
        <v>#REF!</v>
      </c>
      <c r="U19" s="8" t="e">
        <f t="shared" si="7"/>
        <v>#REF!</v>
      </c>
      <c r="W19" t="e">
        <f t="shared" si="8"/>
        <v>#REF!</v>
      </c>
      <c r="X19" t="str">
        <f t="shared" si="9"/>
        <v>Seabreeze Shopping Court</v>
      </c>
    </row>
    <row r="20" spans="1:24" x14ac:dyDescent="0.35">
      <c r="A20" s="8" t="str">
        <f>'Portfolio Data (Modified)'!A20</f>
        <v>T019</v>
      </c>
      <c r="B20" s="8" t="str">
        <f>'Portfolio Data (Modified)'!B20</f>
        <v>Maple Ridge Office Complex</v>
      </c>
      <c r="C20" s="8" t="e">
        <f>PROPER(TRIM('Portfolio Data (Modified)'!#REF!))</f>
        <v>#REF!</v>
      </c>
      <c r="D20" s="8" t="e">
        <f>PROPER(TRIM('Portfolio Data (Modified)'!#REF!))</f>
        <v>#REF!</v>
      </c>
      <c r="E20" s="8" t="e">
        <f>PROPER(TRIM('Portfolio Data (Modified)'!#REF!))</f>
        <v>#REF!</v>
      </c>
      <c r="F20" s="8">
        <f>'Portfolio Data (Modified)'!E20</f>
        <v>44000</v>
      </c>
      <c r="G20" s="8">
        <f>'Portfolio Data (Modified)'!K20</f>
        <v>1720000</v>
      </c>
      <c r="H20" s="8" t="e">
        <f>IF('Portfolio Data (Modified)'!#REF!="","",PROPER('Portfolio Data (Modified)'!#REF!))</f>
        <v>#REF!</v>
      </c>
      <c r="I20" s="8" t="str">
        <f>'Portfolio Data (Modified)'!I20</f>
        <v>2021-05-10</v>
      </c>
      <c r="J20" s="8" t="str">
        <f>'Portfolio Data (Modified)'!J20</f>
        <v>2024-05-09</v>
      </c>
      <c r="K20" s="8" t="str">
        <f>IF('Portfolio Data (Modified)'!L20="","",'Portfolio Data (Modified)'!L20)</f>
        <v/>
      </c>
      <c r="L20" s="8" t="e">
        <f>IF(E20&lt;&gt;"Active","",ROUND(G20/VLOOKUP("USD",'FX Rate Table'!$A$2:$B$4,2,FALSE()),2))</f>
        <v>#REF!</v>
      </c>
      <c r="M20" s="8" t="e">
        <f t="shared" si="0"/>
        <v>#REF!</v>
      </c>
      <c r="N20" s="8" t="e">
        <f t="shared" si="1"/>
        <v>#REF!</v>
      </c>
      <c r="O20" s="8" t="e">
        <f t="shared" si="2"/>
        <v>#REF!</v>
      </c>
      <c r="P20" s="8" t="e">
        <f t="shared" si="3"/>
        <v>#REF!</v>
      </c>
      <c r="Q20" s="8" t="e">
        <f t="shared" si="4"/>
        <v>#REF!</v>
      </c>
      <c r="R20" s="8" t="e">
        <f t="shared" si="5"/>
        <v>#REF!</v>
      </c>
      <c r="S20" s="8" t="e">
        <f>IF(OR('Portfolio Data (Modified)'!B20&lt;&gt;TRIM('Portfolio Data (Modified)'!B20),'Portfolio Data (Modified)'!#REF!&lt;&gt;PROPER(TRIM('Portfolio Data (Modified)'!#REF!))),"Needs Cleanup","")</f>
        <v>#REF!</v>
      </c>
      <c r="T20" s="8" t="e">
        <f t="shared" si="6"/>
        <v>#REF!</v>
      </c>
      <c r="U20" s="8" t="e">
        <f t="shared" si="7"/>
        <v>#REF!</v>
      </c>
      <c r="W20" t="e">
        <f t="shared" si="8"/>
        <v>#REF!</v>
      </c>
      <c r="X20" t="str">
        <f t="shared" si="9"/>
        <v>Maple Ridge Office Complex</v>
      </c>
    </row>
    <row r="21" spans="1:24" x14ac:dyDescent="0.35">
      <c r="A21" s="8" t="str">
        <f>'Portfolio Data (Modified)'!A21</f>
        <v>T020</v>
      </c>
      <c r="B21" s="8" t="str">
        <f>'Portfolio Data (Modified)'!B21</f>
        <v>Maple Ridge Office Complex</v>
      </c>
      <c r="C21" s="8" t="e">
        <f>PROPER(TRIM('Portfolio Data (Modified)'!#REF!))</f>
        <v>#REF!</v>
      </c>
      <c r="D21" s="8" t="e">
        <f>PROPER(TRIM('Portfolio Data (Modified)'!#REF!))</f>
        <v>#REF!</v>
      </c>
      <c r="E21" s="8" t="e">
        <f>PROPER(TRIM('Portfolio Data (Modified)'!#REF!))</f>
        <v>#REF!</v>
      </c>
      <c r="F21" s="8">
        <f>'Portfolio Data (Modified)'!E21</f>
        <v>44000</v>
      </c>
      <c r="G21" s="8">
        <f>'Portfolio Data (Modified)'!K21</f>
        <v>0</v>
      </c>
      <c r="H21" s="8" t="e">
        <f>IF('Portfolio Data (Modified)'!#REF!="","",PROPER('Portfolio Data (Modified)'!#REF!))</f>
        <v>#REF!</v>
      </c>
      <c r="I21" s="8">
        <f>'Portfolio Data (Modified)'!I21</f>
        <v>0</v>
      </c>
      <c r="J21" s="8">
        <f>'Portfolio Data (Modified)'!J21</f>
        <v>0</v>
      </c>
      <c r="K21" s="8" t="str">
        <f>IF('Portfolio Data (Modified)'!L21="","",'Portfolio Data (Modified)'!L21)</f>
        <v/>
      </c>
      <c r="L21" s="8" t="e">
        <f>IF(E21&lt;&gt;"Active","",ROUND(G21/VLOOKUP("USD",'FX Rate Table'!$A$2:$B$4,2,FALSE()),2))</f>
        <v>#REF!</v>
      </c>
      <c r="M21" s="8" t="e">
        <f t="shared" si="0"/>
        <v>#REF!</v>
      </c>
      <c r="N21" s="8" t="e">
        <f t="shared" si="1"/>
        <v>#REF!</v>
      </c>
      <c r="O21" s="8" t="e">
        <f t="shared" si="2"/>
        <v>#REF!</v>
      </c>
      <c r="P21" s="8" t="e">
        <f t="shared" si="3"/>
        <v>#REF!</v>
      </c>
      <c r="Q21" s="8" t="e">
        <f t="shared" si="4"/>
        <v>#REF!</v>
      </c>
      <c r="R21" s="8" t="e">
        <f t="shared" si="5"/>
        <v>#REF!</v>
      </c>
      <c r="S21" s="8" t="e">
        <f>IF(OR('Portfolio Data (Modified)'!B21&lt;&gt;TRIM('Portfolio Data (Modified)'!B21),'Portfolio Data (Modified)'!#REF!&lt;&gt;PROPER(TRIM('Portfolio Data (Modified)'!#REF!))),"Needs Cleanup","")</f>
        <v>#REF!</v>
      </c>
      <c r="T21" s="8" t="e">
        <f t="shared" si="6"/>
        <v>#REF!</v>
      </c>
      <c r="U21" s="8" t="e">
        <f t="shared" si="7"/>
        <v>#REF!</v>
      </c>
      <c r="W21" t="e">
        <f t="shared" si="8"/>
        <v>#REF!</v>
      </c>
      <c r="X21" t="str">
        <f t="shared" si="9"/>
        <v>Maple Ridge Office Complex</v>
      </c>
    </row>
    <row r="22" spans="1:24" x14ac:dyDescent="0.35">
      <c r="A22" s="8" t="str">
        <f>'Portfolio Data (Modified)'!A22</f>
        <v>T021</v>
      </c>
      <c r="B22" s="8" t="str">
        <f>'Portfolio Data (Modified)'!B22</f>
        <v>Harborline Distribution Center</v>
      </c>
      <c r="C22" s="8" t="e">
        <f>PROPER(TRIM('Portfolio Data (Modified)'!#REF!))</f>
        <v>#REF!</v>
      </c>
      <c r="D22" s="8" t="e">
        <f>PROPER(TRIM('Portfolio Data (Modified)'!#REF!))</f>
        <v>#REF!</v>
      </c>
      <c r="E22" s="8" t="e">
        <f>PROPER(TRIM('Portfolio Data (Modified)'!#REF!))</f>
        <v>#REF!</v>
      </c>
      <c r="F22" s="8">
        <f>'Portfolio Data (Modified)'!E22</f>
        <v>132000</v>
      </c>
      <c r="G22" s="8">
        <f>'Portfolio Data (Modified)'!K22</f>
        <v>3420000</v>
      </c>
      <c r="H22" s="8" t="e">
        <f>IF('Portfolio Data (Modified)'!#REF!="","",PROPER('Portfolio Data (Modified)'!#REF!))</f>
        <v>#REF!</v>
      </c>
      <c r="I22" s="8" t="str">
        <f>'Portfolio Data (Modified)'!I22</f>
        <v>2022-03-01</v>
      </c>
      <c r="J22" s="8" t="str">
        <f>'Portfolio Data (Modified)'!J22</f>
        <v>2030-02-28</v>
      </c>
      <c r="K22" s="8" t="str">
        <f>IF('Portfolio Data (Modified)'!L22="","",'Portfolio Data (Modified)'!L22)</f>
        <v>Priya Nair</v>
      </c>
      <c r="L22" s="8" t="e">
        <f>IF(E22&lt;&gt;"Active","",ROUND(G22/VLOOKUP("USD",'FX Rate Table'!$A$2:$B$4,2,FALSE()),2))</f>
        <v>#REF!</v>
      </c>
      <c r="M22" s="8" t="e">
        <f t="shared" si="0"/>
        <v>#REF!</v>
      </c>
      <c r="N22" s="8" t="e">
        <f t="shared" si="1"/>
        <v>#REF!</v>
      </c>
      <c r="O22" s="8" t="e">
        <f t="shared" si="2"/>
        <v>#REF!</v>
      </c>
      <c r="P22" s="8" t="e">
        <f t="shared" si="3"/>
        <v>#REF!</v>
      </c>
      <c r="Q22" s="8" t="e">
        <f t="shared" si="4"/>
        <v>#REF!</v>
      </c>
      <c r="R22" s="8" t="e">
        <f t="shared" si="5"/>
        <v>#REF!</v>
      </c>
      <c r="S22" s="8" t="e">
        <f>IF(OR('Portfolio Data (Modified)'!B22&lt;&gt;TRIM('Portfolio Data (Modified)'!B22),'Portfolio Data (Modified)'!#REF!&lt;&gt;PROPER(TRIM('Portfolio Data (Modified)'!#REF!))),"Needs Cleanup","")</f>
        <v>#REF!</v>
      </c>
      <c r="T22" s="8" t="e">
        <f t="shared" si="6"/>
        <v>#REF!</v>
      </c>
      <c r="U22" s="8" t="e">
        <f t="shared" si="7"/>
        <v>#REF!</v>
      </c>
      <c r="W22" t="e">
        <f t="shared" si="8"/>
        <v>#REF!</v>
      </c>
      <c r="X22" t="str">
        <f t="shared" si="9"/>
        <v>Harborline Distribution Center</v>
      </c>
    </row>
    <row r="23" spans="1:24" x14ac:dyDescent="0.35">
      <c r="A23" s="8" t="str">
        <f>'Portfolio Data (Modified)'!A23</f>
        <v>T022</v>
      </c>
      <c r="B23" s="8" t="str">
        <f>'Portfolio Data (Modified)'!B23</f>
        <v>Crown Point Plaza</v>
      </c>
      <c r="C23" s="8" t="e">
        <f>PROPER(TRIM('Portfolio Data (Modified)'!#REF!))</f>
        <v>#REF!</v>
      </c>
      <c r="D23" s="8" t="e">
        <f>PROPER(TRIM('Portfolio Data (Modified)'!#REF!))</f>
        <v>#REF!</v>
      </c>
      <c r="E23" s="8" t="e">
        <f>PROPER(TRIM('Portfolio Data (Modified)'!#REF!))</f>
        <v>#REF!</v>
      </c>
      <c r="F23" s="8">
        <f>'Portfolio Data (Modified)'!E23</f>
        <v>58000</v>
      </c>
      <c r="G23" s="8">
        <f>'Portfolio Data (Modified)'!K23</f>
        <v>2530000</v>
      </c>
      <c r="H23" s="8" t="e">
        <f>IF('Portfolio Data (Modified)'!#REF!="","",PROPER('Portfolio Data (Modified)'!#REF!))</f>
        <v>#REF!</v>
      </c>
      <c r="I23" s="8" t="str">
        <f>'Portfolio Data (Modified)'!I23</f>
        <v>2020-09-01</v>
      </c>
      <c r="J23" s="8" t="str">
        <f>'Portfolio Data (Modified)'!J23</f>
        <v>2026-08-31</v>
      </c>
      <c r="K23" s="8" t="str">
        <f>IF('Portfolio Data (Modified)'!L23="","",'Portfolio Data (Modified)'!L23)</f>
        <v>Anand Verma</v>
      </c>
      <c r="L23" s="8" t="e">
        <f>IF(E23&lt;&gt;"Active","",ROUND(G23/VLOOKUP("USD",'FX Rate Table'!$A$2:$B$4,2,FALSE()),2))</f>
        <v>#REF!</v>
      </c>
      <c r="M23" s="8" t="e">
        <f t="shared" si="0"/>
        <v>#REF!</v>
      </c>
      <c r="N23" s="8" t="e">
        <f t="shared" si="1"/>
        <v>#REF!</v>
      </c>
      <c r="O23" s="8" t="e">
        <f t="shared" si="2"/>
        <v>#REF!</v>
      </c>
      <c r="P23" s="8" t="e">
        <f t="shared" si="3"/>
        <v>#REF!</v>
      </c>
      <c r="Q23" s="8" t="e">
        <f t="shared" si="4"/>
        <v>#REF!</v>
      </c>
      <c r="R23" s="8" t="e">
        <f t="shared" si="5"/>
        <v>#REF!</v>
      </c>
      <c r="S23" s="8" t="e">
        <f>IF(OR('Portfolio Data (Modified)'!B23&lt;&gt;TRIM('Portfolio Data (Modified)'!B23),'Portfolio Data (Modified)'!#REF!&lt;&gt;PROPER(TRIM('Portfolio Data (Modified)'!#REF!))),"Needs Cleanup","")</f>
        <v>#REF!</v>
      </c>
      <c r="T23" s="8" t="e">
        <f t="shared" si="6"/>
        <v>#REF!</v>
      </c>
      <c r="U23" s="8" t="e">
        <f t="shared" si="7"/>
        <v>#REF!</v>
      </c>
      <c r="W23" t="e">
        <f t="shared" si="8"/>
        <v>#REF!</v>
      </c>
      <c r="X23" t="str">
        <f t="shared" si="9"/>
        <v>Crown Point Plaza</v>
      </c>
    </row>
    <row r="24" spans="1:24" x14ac:dyDescent="0.35">
      <c r="A24" s="8" t="str">
        <f>'Portfolio Data (Modified)'!A24</f>
        <v>T023</v>
      </c>
      <c r="B24" s="8" t="str">
        <f>'Portfolio Data (Modified)'!B24</f>
        <v>Crown Point Plaza</v>
      </c>
      <c r="C24" s="8" t="e">
        <f>PROPER(TRIM('Portfolio Data (Modified)'!#REF!))</f>
        <v>#REF!</v>
      </c>
      <c r="D24" s="8" t="e">
        <f>PROPER(TRIM('Portfolio Data (Modified)'!#REF!))</f>
        <v>#REF!</v>
      </c>
      <c r="E24" s="8" t="e">
        <f>PROPER(TRIM('Portfolio Data (Modified)'!#REF!))</f>
        <v>#REF!</v>
      </c>
      <c r="F24" s="8">
        <f>'Portfolio Data (Modified)'!E24</f>
        <v>58000</v>
      </c>
      <c r="G24" s="8">
        <f>'Portfolio Data (Modified)'!K24</f>
        <v>2530000</v>
      </c>
      <c r="H24" s="8" t="e">
        <f>IF('Portfolio Data (Modified)'!#REF!="","",PROPER('Portfolio Data (Modified)'!#REF!))</f>
        <v>#REF!</v>
      </c>
      <c r="I24" s="8" t="str">
        <f>'Portfolio Data (Modified)'!I24</f>
        <v>2020-09-01</v>
      </c>
      <c r="J24" s="8" t="str">
        <f>'Portfolio Data (Modified)'!J24</f>
        <v>2026-08-31</v>
      </c>
      <c r="K24" s="8" t="str">
        <f>IF('Portfolio Data (Modified)'!L24="","",'Portfolio Data (Modified)'!L24)</f>
        <v>Anand Verma</v>
      </c>
      <c r="L24" s="8" t="e">
        <f>IF(E24&lt;&gt;"Active","",ROUND(G24/VLOOKUP("USD",'FX Rate Table'!$A$2:$B$4,2,FALSE()),2))</f>
        <v>#REF!</v>
      </c>
      <c r="M24" s="8" t="e">
        <f t="shared" si="0"/>
        <v>#REF!</v>
      </c>
      <c r="N24" s="8" t="e">
        <f t="shared" si="1"/>
        <v>#REF!</v>
      </c>
      <c r="O24" s="8" t="e">
        <f t="shared" si="2"/>
        <v>#REF!</v>
      </c>
      <c r="P24" s="8" t="e">
        <f t="shared" si="3"/>
        <v>#REF!</v>
      </c>
      <c r="Q24" s="8" t="e">
        <f t="shared" si="4"/>
        <v>#REF!</v>
      </c>
      <c r="R24" s="8" t="e">
        <f t="shared" si="5"/>
        <v>#REF!</v>
      </c>
      <c r="S24" s="8" t="e">
        <f>IF(OR('Portfolio Data (Modified)'!B24&lt;&gt;TRIM('Portfolio Data (Modified)'!B24),'Portfolio Data (Modified)'!#REF!&lt;&gt;PROPER(TRIM('Portfolio Data (Modified)'!#REF!))),"Needs Cleanup","")</f>
        <v>#REF!</v>
      </c>
      <c r="T24" s="8" t="e">
        <f t="shared" si="6"/>
        <v>#REF!</v>
      </c>
      <c r="U24" s="8" t="e">
        <f t="shared" si="7"/>
        <v>#REF!</v>
      </c>
      <c r="W24" t="e">
        <f t="shared" si="8"/>
        <v>#REF!</v>
      </c>
      <c r="X24" t="str">
        <f t="shared" si="9"/>
        <v>Crown Point Plaza</v>
      </c>
    </row>
    <row r="27" spans="1:24" x14ac:dyDescent="0.35">
      <c r="A27" s="1" t="s">
        <v>162</v>
      </c>
    </row>
    <row r="28" spans="1:24" x14ac:dyDescent="0.35">
      <c r="A28" s="9" t="s">
        <v>163</v>
      </c>
      <c r="B28" s="8">
        <f>SUMPRODUCT((X2:X24&lt;&gt;"")/COUNTIF(X2:X24,X2:X24&amp;""))</f>
        <v>12</v>
      </c>
    </row>
    <row r="30" spans="1:24" x14ac:dyDescent="0.35">
      <c r="A30" s="9" t="s">
        <v>164</v>
      </c>
    </row>
    <row r="31" spans="1:24" x14ac:dyDescent="0.35">
      <c r="A31" s="8" t="s">
        <v>165</v>
      </c>
      <c r="B31" s="8">
        <f t="shared" ref="B31:B37" si="10">SUMIFS($G$2:$G$24,$H$2:$H$24,A31,$E$2:$E$24,"Active")</f>
        <v>0</v>
      </c>
    </row>
    <row r="32" spans="1:24" x14ac:dyDescent="0.35">
      <c r="A32" s="8" t="s">
        <v>34</v>
      </c>
      <c r="B32" s="8">
        <f t="shared" si="10"/>
        <v>0</v>
      </c>
    </row>
    <row r="33" spans="1:3" x14ac:dyDescent="0.35">
      <c r="A33" s="8" t="s">
        <v>44</v>
      </c>
      <c r="B33" s="8">
        <f t="shared" si="10"/>
        <v>0</v>
      </c>
    </row>
    <row r="34" spans="1:3" x14ac:dyDescent="0.35">
      <c r="A34" s="8" t="s">
        <v>55</v>
      </c>
      <c r="B34" s="8">
        <f t="shared" si="10"/>
        <v>0</v>
      </c>
    </row>
    <row r="35" spans="1:3" x14ac:dyDescent="0.35">
      <c r="A35" s="8" t="s">
        <v>166</v>
      </c>
      <c r="B35" s="8">
        <f t="shared" si="10"/>
        <v>0</v>
      </c>
    </row>
    <row r="36" spans="1:3" x14ac:dyDescent="0.35">
      <c r="A36" s="8" t="s">
        <v>97</v>
      </c>
      <c r="B36" s="8">
        <f t="shared" si="10"/>
        <v>0</v>
      </c>
    </row>
    <row r="37" spans="1:3" x14ac:dyDescent="0.35">
      <c r="A37" s="8" t="s">
        <v>117</v>
      </c>
      <c r="B37" s="8">
        <f t="shared" si="10"/>
        <v>0</v>
      </c>
    </row>
    <row r="38" spans="1:3" x14ac:dyDescent="0.35">
      <c r="A38" s="9" t="s">
        <v>167</v>
      </c>
      <c r="B38" s="8" t="str">
        <f>INDEX($A$31:$A$37,MATCH(MAX($B$31:$B$37),$B$31:$B$37,0))</f>
        <v>It Services</v>
      </c>
      <c r="C38" s="8">
        <f>MAX($B$31:$B$37)</f>
        <v>0</v>
      </c>
    </row>
    <row r="40" spans="1:3" x14ac:dyDescent="0.35">
      <c r="A40" s="9" t="s">
        <v>168</v>
      </c>
    </row>
    <row r="41" spans="1:3" x14ac:dyDescent="0.35">
      <c r="A41" s="8" t="s">
        <v>22</v>
      </c>
      <c r="B41" s="8" t="e">
        <f t="shared" ref="B41:B46" si="11">ROUND(SUMIFS($G$2:$G$24,$C$2:$C$24,A41,$E$2:$E$24,"Active")/SUMIFS($G$2:$G$24,$E$2:$E$24,"Active")*100,1)</f>
        <v>#DIV/0!</v>
      </c>
    </row>
    <row r="42" spans="1:3" x14ac:dyDescent="0.35">
      <c r="A42" s="8" t="s">
        <v>32</v>
      </c>
      <c r="B42" s="8" t="e">
        <f t="shared" si="11"/>
        <v>#DIV/0!</v>
      </c>
    </row>
    <row r="43" spans="1:3" x14ac:dyDescent="0.35">
      <c r="A43" s="8" t="s">
        <v>37</v>
      </c>
      <c r="B43" s="8" t="e">
        <f t="shared" si="11"/>
        <v>#DIV/0!</v>
      </c>
    </row>
    <row r="44" spans="1:3" x14ac:dyDescent="0.35">
      <c r="A44" s="8" t="s">
        <v>47</v>
      </c>
      <c r="B44" s="8" t="e">
        <f t="shared" si="11"/>
        <v>#DIV/0!</v>
      </c>
    </row>
    <row r="45" spans="1:3" x14ac:dyDescent="0.35">
      <c r="A45" s="8" t="s">
        <v>58</v>
      </c>
      <c r="B45" s="8" t="e">
        <f t="shared" si="11"/>
        <v>#DIV/0!</v>
      </c>
    </row>
    <row r="46" spans="1:3" x14ac:dyDescent="0.35">
      <c r="A46" s="8" t="s">
        <v>74</v>
      </c>
      <c r="B46" s="8" t="e">
        <f t="shared" si="11"/>
        <v>#DIV/0!</v>
      </c>
    </row>
    <row r="48" spans="1:3" x14ac:dyDescent="0.35">
      <c r="A48" s="9" t="s">
        <v>169</v>
      </c>
    </row>
    <row r="49" spans="1:2" x14ac:dyDescent="0.35">
      <c r="A49" s="8" t="s">
        <v>170</v>
      </c>
      <c r="B49" s="8" t="e">
        <f>INDEX($B$2:$B$24,MATCH(MIN($W$2:$W$24),$W$2:$W$24,0))</f>
        <v>#REF!</v>
      </c>
    </row>
    <row r="51" spans="1:2" x14ac:dyDescent="0.35">
      <c r="A51" s="9" t="s">
        <v>171</v>
      </c>
      <c r="B51" s="8">
        <f>LARGE($G$2:$G$24,2)</f>
        <v>3980000</v>
      </c>
    </row>
    <row r="53" spans="1:2" x14ac:dyDescent="0.35">
      <c r="A53" s="9" t="s">
        <v>172</v>
      </c>
      <c r="B53" s="8">
        <f>COUNTIFS($E$2:$E$24,"Active",$K$2:$K$24,"")</f>
        <v>0</v>
      </c>
    </row>
    <row r="55" spans="1:2" x14ac:dyDescent="0.35">
      <c r="A55" s="9" t="s">
        <v>173</v>
      </c>
    </row>
    <row r="56" spans="1:2" x14ac:dyDescent="0.35">
      <c r="A56" s="8" t="s">
        <v>15</v>
      </c>
      <c r="B56" s="8" t="e">
        <f>ROUND(SUMIFS($N$2:$N$24,$D$2:$D$24,A56,$E$2:$E$24,"Active")/SUMIFS($N$2:$N$24,$E$2:$E$24,"Active")*100,1)</f>
        <v>#DIV/0!</v>
      </c>
    </row>
    <row r="57" spans="1:2" x14ac:dyDescent="0.35">
      <c r="A57" s="8" t="s">
        <v>38</v>
      </c>
      <c r="B57" s="8" t="e">
        <f>ROUND(SUMIFS($N$2:$N$24,$D$2:$D$24,A57,$E$2:$E$24,"Active")/SUMIFS($N$2:$N$24,$E$2:$E$24,"Active")*100,1)</f>
        <v>#DIV/0!</v>
      </c>
    </row>
    <row r="58" spans="1:2" x14ac:dyDescent="0.35">
      <c r="A58" s="8" t="s">
        <v>48</v>
      </c>
      <c r="B58" s="8" t="e">
        <f>ROUND(SUMIFS($N$2:$N$24,$D$2:$D$24,A58,$E$2:$E$24,"Active")/SUMIFS($N$2:$N$24,$E$2:$E$24,"Active")*100,1)</f>
        <v>#DIV/0!</v>
      </c>
    </row>
    <row r="60" spans="1:2" x14ac:dyDescent="0.35">
      <c r="A60" s="9" t="s">
        <v>174</v>
      </c>
      <c r="B60" s="8" t="e">
        <f>SUMPRODUCT((T2:T24&lt;&gt;"")/COUNTIF(T2:T24,T2:T24&amp;""))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 Data (Raw)</vt:lpstr>
      <vt:lpstr>Portfolio Data (Modified)</vt:lpstr>
      <vt:lpstr>FX Rate Table</vt:lpstr>
      <vt:lpstr>Pivot Table</vt:lpstr>
      <vt:lpstr>Practice Tasks</vt:lpstr>
      <vt:lpstr>Answer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Pravalika Ravalkol</cp:lastModifiedBy>
  <cp:revision>0</cp:revision>
  <dcterms:created xsi:type="dcterms:W3CDTF">2026-09-23T18:58:56Z</dcterms:created>
  <dcterms:modified xsi:type="dcterms:W3CDTF">2026-09-24T18:53:48Z</dcterms:modified>
  <dc:language>en-US</dc:language>
</cp:coreProperties>
</file>