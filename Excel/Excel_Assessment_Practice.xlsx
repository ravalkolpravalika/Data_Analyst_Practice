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val\Downloads\"/>
    </mc:Choice>
  </mc:AlternateContent>
  <xr:revisionPtr revIDLastSave="0" documentId="13_ncr:1_{175963A2-5DF3-45AB-9522-937E35028F6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roperty Data (Raw)" sheetId="1" r:id="rId1"/>
    <sheet name="Property Data (Modified)" sheetId="5" r:id="rId2"/>
    <sheet name="City-Region Lookup" sheetId="2" r:id="rId3"/>
    <sheet name="City-Region Lookup (Modified)" sheetId="8" r:id="rId4"/>
    <sheet name="Pivot Table" sheetId="9" r:id="rId5"/>
    <sheet name="Practice Tasks" sheetId="3" r:id="rId6"/>
  </sheets>
  <calcPr calcId="191029" iterateDelta="1E-4"/>
  <pivotCaches>
    <pivotCache cacheId="4" r:id="rId7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" i="5"/>
  <c r="C30" i="5"/>
  <c r="C29" i="5"/>
  <c r="C28" i="5"/>
  <c r="B28" i="5"/>
  <c r="B30" i="5"/>
  <c r="B29" i="5"/>
  <c r="C3" i="8"/>
  <c r="C4" i="8"/>
  <c r="C5" i="8"/>
  <c r="C6" i="8"/>
  <c r="C7" i="8"/>
  <c r="C2" i="8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" i="5"/>
  <c r="B25" i="5"/>
</calcChain>
</file>

<file path=xl/sharedStrings.xml><?xml version="1.0" encoding="utf-8"?>
<sst xmlns="http://schemas.openxmlformats.org/spreadsheetml/2006/main" count="365" uniqueCount="119">
  <si>
    <t>Property ID</t>
  </si>
  <si>
    <t>Property Name</t>
  </si>
  <si>
    <t>City</t>
  </si>
  <si>
    <t>Property Type</t>
  </si>
  <si>
    <t>Total Area (sqft)</t>
  </si>
  <si>
    <t>Lease Status</t>
  </si>
  <si>
    <t>Tenant Name</t>
  </si>
  <si>
    <t>Lease Start Date</t>
  </si>
  <si>
    <t>Monthly Rent (INR)</t>
  </si>
  <si>
    <t>P001</t>
  </si>
  <si>
    <t>Skyline Towers</t>
  </si>
  <si>
    <t xml:space="preserve"> Bengaluru</t>
  </si>
  <si>
    <t>Office</t>
  </si>
  <si>
    <t>Active</t>
  </si>
  <si>
    <t>TechNova Pvt Ltd</t>
  </si>
  <si>
    <t>2023-04-01</t>
  </si>
  <si>
    <t>P002</t>
  </si>
  <si>
    <t>Bengaluru</t>
  </si>
  <si>
    <t>P003</t>
  </si>
  <si>
    <t>Orion Business Park</t>
  </si>
  <si>
    <t>hyderabad</t>
  </si>
  <si>
    <t>Vertex Solutions</t>
  </si>
  <si>
    <t>01-11-2022</t>
  </si>
  <si>
    <t>P004</t>
  </si>
  <si>
    <t xml:space="preserve">Orion Business Park </t>
  </si>
  <si>
    <t>Hyderabad</t>
  </si>
  <si>
    <t>office</t>
  </si>
  <si>
    <t>active</t>
  </si>
  <si>
    <t>P005</t>
  </si>
  <si>
    <t>Greenfield Mall</t>
  </si>
  <si>
    <t>Chennai</t>
  </si>
  <si>
    <t>Retail</t>
  </si>
  <si>
    <t>Retail Junction</t>
  </si>
  <si>
    <t>2024-01-15</t>
  </si>
  <si>
    <t>P006</t>
  </si>
  <si>
    <t>CHENNAI</t>
  </si>
  <si>
    <t>vacant</t>
  </si>
  <si>
    <t>P007</t>
  </si>
  <si>
    <t>Harbor View Warehouse</t>
  </si>
  <si>
    <t>Mumbai</t>
  </si>
  <si>
    <t>Industrial</t>
  </si>
  <si>
    <t>LogiCore Freight</t>
  </si>
  <si>
    <t>2021-09-10</t>
  </si>
  <si>
    <t>P008</t>
  </si>
  <si>
    <t xml:space="preserve">Mumbai </t>
  </si>
  <si>
    <t>P009</t>
  </si>
  <si>
    <t>Lakeview Corporate Center</t>
  </si>
  <si>
    <t>Pune</t>
  </si>
  <si>
    <t>DataSphere Inc</t>
  </si>
  <si>
    <t>2022-06-20</t>
  </si>
  <si>
    <t>P010</t>
  </si>
  <si>
    <t>pune</t>
  </si>
  <si>
    <t>P011</t>
  </si>
  <si>
    <t>Riverside Plaza</t>
  </si>
  <si>
    <t>Urban Bazaar</t>
  </si>
  <si>
    <t>2023-12-01</t>
  </si>
  <si>
    <t>P012</t>
  </si>
  <si>
    <t>P013</t>
  </si>
  <si>
    <t>Metro Logistics Hub</t>
  </si>
  <si>
    <t>Delhi</t>
  </si>
  <si>
    <t>SwiftShip Ltd</t>
  </si>
  <si>
    <t>2020-03-05</t>
  </si>
  <si>
    <t>P014</t>
  </si>
  <si>
    <t xml:space="preserve"> Delhi</t>
  </si>
  <si>
    <t>industrial</t>
  </si>
  <si>
    <t>P015</t>
  </si>
  <si>
    <t>Crescent IT Park</t>
  </si>
  <si>
    <t xml:space="preserve">hyderabad </t>
  </si>
  <si>
    <t>CodeCraft Systems</t>
  </si>
  <si>
    <t>2023-07-18</t>
  </si>
  <si>
    <t>P016</t>
  </si>
  <si>
    <t>P017</t>
  </si>
  <si>
    <t>Sunrise Retail Court</t>
  </si>
  <si>
    <t>Coastal Mart</t>
  </si>
  <si>
    <t>2024-02-10</t>
  </si>
  <si>
    <t>P018</t>
  </si>
  <si>
    <t>chennai</t>
  </si>
  <si>
    <t>retail</t>
  </si>
  <si>
    <t>P019</t>
  </si>
  <si>
    <t>Pinewood Business Center</t>
  </si>
  <si>
    <t>NextGen Analytics</t>
  </si>
  <si>
    <t>2022-10-01</t>
  </si>
  <si>
    <t>P020</t>
  </si>
  <si>
    <t>Region</t>
  </si>
  <si>
    <t>South</t>
  </si>
  <si>
    <t>West</t>
  </si>
  <si>
    <t>North</t>
  </si>
  <si>
    <t>1</t>
  </si>
  <si>
    <t>Clean 'City' into a new column: trim extra spaces and fix casing to Proper Case (TRIM + PROPER).</t>
  </si>
  <si>
    <t>2</t>
  </si>
  <si>
    <t>Clean 'Property Type' the same way, and standardize 'Lease Status' to Proper Case.</t>
  </si>
  <si>
    <t>3</t>
  </si>
  <si>
    <t>Identify duplicate property records (same Property Name + City + Lease Start Date) using COUNTIFS.</t>
  </si>
  <si>
    <t>4</t>
  </si>
  <si>
    <t>5</t>
  </si>
  <si>
    <t>Use INDEX/MATCH to pull each property's Region from the 'City-Region Lookup' sheet.</t>
  </si>
  <si>
    <t>6</t>
  </si>
  <si>
    <t>Calculate total Monthly Rent by City using SUMIFS (active leases only).</t>
  </si>
  <si>
    <t>7</t>
  </si>
  <si>
    <t>Count how many properties are Active vs Vacant per Property Type using COUNTIFS.</t>
  </si>
  <si>
    <t>8</t>
  </si>
  <si>
    <t>Extract the Year from 'Lease Start Date' for each active lease using YEAR().</t>
  </si>
  <si>
    <t>9</t>
  </si>
  <si>
    <t>Flag properties with Monthly Rent above ₹2,000,000 using an IF formula.</t>
  </si>
  <si>
    <t>10</t>
  </si>
  <si>
    <t>11</t>
  </si>
  <si>
    <t>Build a Pivot Table: Total Area by Property Type and City.</t>
  </si>
  <si>
    <t>12</t>
  </si>
  <si>
    <t>Apply conditional formatting to highlight Monthly Rent above ₹2,500,000.</t>
  </si>
  <si>
    <t>Rent per sqft</t>
  </si>
  <si>
    <t>Vacant</t>
  </si>
  <si>
    <t>Total Monthly Rent</t>
  </si>
  <si>
    <t>Year</t>
  </si>
  <si>
    <t>High rent &gt;2,000,000</t>
  </si>
  <si>
    <t xml:space="preserve">Calculate Rent per sqft (Monthly Rent / Total Area) for active leases </t>
  </si>
  <si>
    <t>Grand Total</t>
  </si>
  <si>
    <t>Sum of Total Area (sqft)</t>
  </si>
  <si>
    <t>Excel Assessment - Practice Tasks</t>
  </si>
  <si>
    <t>Remove true duplicate rows, keeping one record per property.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</si>
</sst>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#,##0_ ;\-#,##0\ "/>
  </numFmts>
  <fonts count="12" x14ac:knownFonts="1">
    <font>
      <sz val="11"/>
      <color theme="1"/>
      <name val="Calibri"/>
      <family val="2"/>
      <charset val="1"/>
    </font>
    <font>
      <b/>
      <sz val="11"/>
      <color rgb="FFFFFFFF"/>
      <name val="Times New Roman"/>
      <charset val="1"/>
    </font>
    <font>
      <sz val="11"/>
      <name val="Times New Roman"/>
      <charset val="1"/>
    </font>
    <font>
      <i/>
      <sz val="10"/>
      <color rgb="FF808080"/>
      <name val="Times New Roman"/>
      <charset val="1"/>
    </font>
    <font>
      <b/>
      <sz val="14"/>
      <color rgb="FF1F3864"/>
      <name val="Times New Roman"/>
      <charset val="1"/>
    </font>
    <font>
      <i/>
      <sz val="10"/>
      <name val="Times New Roman"/>
      <charset val="1"/>
    </font>
    <font>
      <b/>
      <sz val="11"/>
      <name val="Times New Roman"/>
      <charset val="1"/>
    </font>
    <font>
      <b/>
      <sz val="11"/>
      <name val="Times New Roman"/>
      <family val="1"/>
    </font>
    <font>
      <b/>
      <sz val="11"/>
      <color rgb="FFFFFFFF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charset val="1"/>
    </font>
    <font>
      <b/>
      <sz val="14"/>
      <color rgb="FF1F386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6" fillId="0" borderId="0" xfId="0" applyFont="1"/>
    <xf numFmtId="0" fontId="2" fillId="0" borderId="0" xfId="0" applyFont="1" applyAlignment="1">
      <alignment vertical="top" wrapText="1"/>
    </xf>
    <xf numFmtId="0" fontId="1" fillId="2" borderId="0" xfId="0" applyNumberFormat="1" applyFont="1" applyFill="1" applyAlignment="1">
      <alignment horizontal="center"/>
    </xf>
    <xf numFmtId="0" fontId="2" fillId="0" borderId="0" xfId="0" applyNumberFormat="1" applyFont="1"/>
    <xf numFmtId="0" fontId="7" fillId="0" borderId="0" xfId="0" applyFont="1" applyAlignment="1">
      <alignment vertical="top" wrapText="1"/>
    </xf>
    <xf numFmtId="44" fontId="0" fillId="0" borderId="0" xfId="0" applyNumberFormat="1"/>
    <xf numFmtId="164" fontId="0" fillId="0" borderId="0" xfId="0" applyNumberFormat="1"/>
    <xf numFmtId="164" fontId="8" fillId="2" borderId="0" xfId="0" applyNumberFormat="1" applyFont="1" applyFill="1"/>
    <xf numFmtId="0" fontId="7" fillId="0" borderId="0" xfId="0" applyFont="1"/>
    <xf numFmtId="0" fontId="10" fillId="0" borderId="0" xfId="0" applyFont="1"/>
    <xf numFmtId="0" fontId="8" fillId="2" borderId="0" xfId="0" applyFont="1" applyFill="1" applyAlignment="1">
      <alignment horizontal="center"/>
    </xf>
    <xf numFmtId="0" fontId="9" fillId="0" borderId="0" xfId="0" applyFont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3" fontId="1" fillId="2" borderId="0" xfId="0" applyNumberFormat="1" applyFont="1" applyFill="1" applyAlignment="1">
      <alignment horizontal="center"/>
    </xf>
    <xf numFmtId="3" fontId="2" fillId="0" borderId="0" xfId="0" applyNumberFormat="1" applyFont="1"/>
    <xf numFmtId="3" fontId="0" fillId="0" borderId="0" xfId="0" applyNumberFormat="1"/>
    <xf numFmtId="0" fontId="7" fillId="3" borderId="0" xfId="0" applyFont="1" applyFill="1" applyAlignment="1">
      <alignment horizontal="center" vertical="top" wrapText="1"/>
    </xf>
    <xf numFmtId="0" fontId="1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18889</xdr:colOff>
      <xdr:row>3</xdr:row>
      <xdr:rowOff>7135</xdr:rowOff>
    </xdr:from>
    <xdr:to>
      <xdr:col>2</xdr:col>
      <xdr:colOff>343973</xdr:colOff>
      <xdr:row>3</xdr:row>
      <xdr:rowOff>332219</xdr:rowOff>
    </xdr:to>
    <xdr:pic>
      <xdr:nvPicPr>
        <xdr:cNvPr id="3" name="Graphic 2" descr="Checkmark">
          <a:extLst>
            <a:ext uri="{FF2B5EF4-FFF2-40B4-BE49-F238E27FC236}">
              <a16:creationId xmlns:a16="http://schemas.microsoft.com/office/drawing/2014/main" id="{44E98A7D-158B-98F7-47A0-C45FB6EB6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075237" y="599326"/>
          <a:ext cx="325084" cy="325084"/>
        </a:xfrm>
        <a:prstGeom prst="rect">
          <a:avLst/>
        </a:prstGeom>
      </xdr:spPr>
    </xdr:pic>
    <xdr:clientData/>
  </xdr:twoCellAnchor>
  <xdr:twoCellAnchor editAs="oneCell">
    <xdr:from>
      <xdr:col>2</xdr:col>
      <xdr:colOff>16887</xdr:colOff>
      <xdr:row>4</xdr:row>
      <xdr:rowOff>30540</xdr:rowOff>
    </xdr:from>
    <xdr:to>
      <xdr:col>2</xdr:col>
      <xdr:colOff>341971</xdr:colOff>
      <xdr:row>5</xdr:row>
      <xdr:rowOff>6018</xdr:rowOff>
    </xdr:to>
    <xdr:pic>
      <xdr:nvPicPr>
        <xdr:cNvPr id="4" name="Graphic 3" descr="Checkmark">
          <a:extLst>
            <a:ext uri="{FF2B5EF4-FFF2-40B4-BE49-F238E27FC236}">
              <a16:creationId xmlns:a16="http://schemas.microsoft.com/office/drawing/2014/main" id="{755EE815-B863-4E48-8682-35973B8FD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073235" y="972338"/>
          <a:ext cx="325084" cy="32508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325084</xdr:colOff>
      <xdr:row>6</xdr:row>
      <xdr:rowOff>325084</xdr:rowOff>
    </xdr:to>
    <xdr:pic>
      <xdr:nvPicPr>
        <xdr:cNvPr id="5" name="Graphic 4" descr="Checkmark">
          <a:extLst>
            <a:ext uri="{FF2B5EF4-FFF2-40B4-BE49-F238E27FC236}">
              <a16:creationId xmlns:a16="http://schemas.microsoft.com/office/drawing/2014/main" id="{A4C9D2BA-C625-4344-BB61-9E5B0DFDE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058094" y="1630899"/>
          <a:ext cx="325084" cy="32508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325084</xdr:colOff>
      <xdr:row>7</xdr:row>
      <xdr:rowOff>325084</xdr:rowOff>
    </xdr:to>
    <xdr:pic>
      <xdr:nvPicPr>
        <xdr:cNvPr id="6" name="Graphic 5" descr="Checkmark">
          <a:extLst>
            <a:ext uri="{FF2B5EF4-FFF2-40B4-BE49-F238E27FC236}">
              <a16:creationId xmlns:a16="http://schemas.microsoft.com/office/drawing/2014/main" id="{D23998CD-035E-46AC-BF8F-AA73D952A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058094" y="1978094"/>
          <a:ext cx="325084" cy="32508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325084</xdr:colOff>
      <xdr:row>8</xdr:row>
      <xdr:rowOff>325084</xdr:rowOff>
    </xdr:to>
    <xdr:pic>
      <xdr:nvPicPr>
        <xdr:cNvPr id="7" name="Graphic 6" descr="Checkmark">
          <a:extLst>
            <a:ext uri="{FF2B5EF4-FFF2-40B4-BE49-F238E27FC236}">
              <a16:creationId xmlns:a16="http://schemas.microsoft.com/office/drawing/2014/main" id="{BEF24EEB-D4E4-49E1-A256-3FD550165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058094" y="2325288"/>
          <a:ext cx="325084" cy="32508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325084</xdr:colOff>
      <xdr:row>9</xdr:row>
      <xdr:rowOff>325084</xdr:rowOff>
    </xdr:to>
    <xdr:pic>
      <xdr:nvPicPr>
        <xdr:cNvPr id="8" name="Graphic 7" descr="Checkmark">
          <a:extLst>
            <a:ext uri="{FF2B5EF4-FFF2-40B4-BE49-F238E27FC236}">
              <a16:creationId xmlns:a16="http://schemas.microsoft.com/office/drawing/2014/main" id="{687719E4-8D69-4596-BDB0-0B87ED34A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058094" y="2672482"/>
          <a:ext cx="325084" cy="32508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325084</xdr:colOff>
      <xdr:row>10</xdr:row>
      <xdr:rowOff>325084</xdr:rowOff>
    </xdr:to>
    <xdr:pic>
      <xdr:nvPicPr>
        <xdr:cNvPr id="9" name="Graphic 8" descr="Checkmark">
          <a:extLst>
            <a:ext uri="{FF2B5EF4-FFF2-40B4-BE49-F238E27FC236}">
              <a16:creationId xmlns:a16="http://schemas.microsoft.com/office/drawing/2014/main" id="{394EA3C3-B3E7-4F32-B0D0-70DA43325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058094" y="3019676"/>
          <a:ext cx="325084" cy="32508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325084</xdr:colOff>
      <xdr:row>11</xdr:row>
      <xdr:rowOff>325084</xdr:rowOff>
    </xdr:to>
    <xdr:pic>
      <xdr:nvPicPr>
        <xdr:cNvPr id="10" name="Graphic 9" descr="Checkmark">
          <a:extLst>
            <a:ext uri="{FF2B5EF4-FFF2-40B4-BE49-F238E27FC236}">
              <a16:creationId xmlns:a16="http://schemas.microsoft.com/office/drawing/2014/main" id="{22600E3A-6415-4ED6-A2DF-781960E65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058094" y="3366871"/>
          <a:ext cx="325084" cy="325084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12</xdr:row>
      <xdr:rowOff>0</xdr:rowOff>
    </xdr:from>
    <xdr:ext cx="325084" cy="325084"/>
    <xdr:pic>
      <xdr:nvPicPr>
        <xdr:cNvPr id="11" name="Graphic 10" descr="Checkmark">
          <a:extLst>
            <a:ext uri="{FF2B5EF4-FFF2-40B4-BE49-F238E27FC236}">
              <a16:creationId xmlns:a16="http://schemas.microsoft.com/office/drawing/2014/main" id="{D5E6AB55-B7A3-4E01-AE1C-5DA600CCE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058094" y="3366871"/>
          <a:ext cx="325084" cy="32508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325084" cy="325084"/>
    <xdr:pic>
      <xdr:nvPicPr>
        <xdr:cNvPr id="12" name="Graphic 11" descr="Checkmark">
          <a:extLst>
            <a:ext uri="{FF2B5EF4-FFF2-40B4-BE49-F238E27FC236}">
              <a16:creationId xmlns:a16="http://schemas.microsoft.com/office/drawing/2014/main" id="{3D709201-78B0-46FE-9124-7078AA508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058094" y="4408453"/>
          <a:ext cx="325084" cy="32508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325084" cy="325084"/>
    <xdr:pic>
      <xdr:nvPicPr>
        <xdr:cNvPr id="13" name="Graphic 12" descr="Checkmark">
          <a:extLst>
            <a:ext uri="{FF2B5EF4-FFF2-40B4-BE49-F238E27FC236}">
              <a16:creationId xmlns:a16="http://schemas.microsoft.com/office/drawing/2014/main" id="{6D2B936E-880A-4C81-86FD-5AA361239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058094" y="4061259"/>
          <a:ext cx="325084" cy="325084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ha Ravalkol" refreshedDate="46288.618183449071" createdVersion="8" refreshedVersion="8" minRefreshableVersion="3" recordCount="20" xr:uid="{DFB94C70-9F42-4C37-BCB7-7D64DF65509D}">
  <cacheSource type="worksheet">
    <worksheetSource ref="A1:M21" sheet="Property Data (Modified)"/>
  </cacheSource>
  <cacheFields count="13">
    <cacheField name="Property ID" numFmtId="0">
      <sharedItems/>
    </cacheField>
    <cacheField name="Property Name" numFmtId="0">
      <sharedItems/>
    </cacheField>
    <cacheField name="City" numFmtId="0">
      <sharedItems count="6">
        <s v="Bengaluru"/>
        <s v="Hyderabad"/>
        <s v="Chennai"/>
        <s v="Mumbai"/>
        <s v="Pune"/>
        <s v="Delhi"/>
      </sharedItems>
    </cacheField>
    <cacheField name="Property Type" numFmtId="0">
      <sharedItems count="3">
        <s v="Office"/>
        <s v="Retail"/>
        <s v="Industrial"/>
      </sharedItems>
    </cacheField>
    <cacheField name="Total Area (sqft)" numFmtId="0">
      <sharedItems containsSemiMixedTypes="0" containsString="0" containsNumber="1" containsInteger="1" minValue="21000" maxValue="120000"/>
    </cacheField>
    <cacheField name="Lease Status" numFmtId="0">
      <sharedItems/>
    </cacheField>
    <cacheField name="Tenant Name" numFmtId="0">
      <sharedItems containsBlank="1"/>
    </cacheField>
    <cacheField name="Lease Start Date" numFmtId="0">
      <sharedItems containsBlank="1"/>
    </cacheField>
    <cacheField name="Monthly Rent (INR)" numFmtId="0">
      <sharedItems containsString="0" containsBlank="1" containsNumber="1" containsInteger="1" minValue="980000" maxValue="3100000"/>
    </cacheField>
    <cacheField name="Region" numFmtId="0">
      <sharedItems/>
    </cacheField>
    <cacheField name="Year" numFmtId="0">
      <sharedItems containsSemiMixedTypes="0" containsString="0" containsNumber="1" containsInteger="1" minValue="1900" maxValue="2024"/>
    </cacheField>
    <cacheField name="High rent &gt;2,000,000" numFmtId="0">
      <sharedItems/>
    </cacheField>
    <cacheField name="Rent per sqft" numFmtId="0">
      <sharedItems containsSemiMixedTypes="0" containsString="0" containsNumber="1" minValue="0" maxValue="46.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P001"/>
    <s v="Skyline Towers"/>
    <x v="0"/>
    <x v="0"/>
    <n v="45000"/>
    <s v="Active"/>
    <s v="TechNova Pvt Ltd"/>
    <s v="2023-04-01"/>
    <n v="1800000"/>
    <s v="South"/>
    <n v="2023"/>
    <s v="No"/>
    <n v="40"/>
  </r>
  <r>
    <s v="P002"/>
    <s v="Skyline Towers"/>
    <x v="0"/>
    <x v="0"/>
    <n v="45000"/>
    <s v="Active"/>
    <s v="TechNova Pvt Ltd"/>
    <s v="2023-04-01"/>
    <n v="1800000"/>
    <s v="South"/>
    <n v="2023"/>
    <s v="No"/>
    <n v="40"/>
  </r>
  <r>
    <s v="P003"/>
    <s v="Orion Business Park"/>
    <x v="1"/>
    <x v="0"/>
    <n v="62000"/>
    <s v="Active"/>
    <s v="Vertex Solutions"/>
    <s v="01-11-2022"/>
    <n v="2450000"/>
    <s v="South"/>
    <n v="2022"/>
    <s v="Yes"/>
    <n v="39.520000000000003"/>
  </r>
  <r>
    <s v="P004"/>
    <s v="Orion Business Park "/>
    <x v="1"/>
    <x v="0"/>
    <n v="62000"/>
    <s v="Active"/>
    <s v="Vertex Solutions"/>
    <s v="01-11-2022"/>
    <n v="2450000"/>
    <s v="South"/>
    <n v="2022"/>
    <s v="Yes"/>
    <n v="39.520000000000003"/>
  </r>
  <r>
    <s v="P005"/>
    <s v="Greenfield Mall"/>
    <x v="2"/>
    <x v="1"/>
    <n v="38000"/>
    <s v="Active"/>
    <s v="Retail Junction"/>
    <s v="2024-01-15"/>
    <n v="1520000"/>
    <s v="South"/>
    <n v="2024"/>
    <s v="No"/>
    <n v="40"/>
  </r>
  <r>
    <s v="P006"/>
    <s v="Greenfield Mall"/>
    <x v="2"/>
    <x v="1"/>
    <n v="38000"/>
    <s v="Vacant"/>
    <m/>
    <m/>
    <m/>
    <s v="South"/>
    <n v="1900"/>
    <s v="No"/>
    <n v="0"/>
  </r>
  <r>
    <s v="P007"/>
    <s v="Harbor View Warehouse"/>
    <x v="3"/>
    <x v="2"/>
    <n v="120000"/>
    <s v="Active"/>
    <s v="LogiCore Freight"/>
    <s v="2021-09-10"/>
    <n v="3100000"/>
    <s v="West"/>
    <n v="2021"/>
    <s v="Yes"/>
    <n v="25.83"/>
  </r>
  <r>
    <s v="P008"/>
    <s v="Harbor View Warehouse"/>
    <x v="3"/>
    <x v="2"/>
    <n v="120000"/>
    <s v="Active"/>
    <s v="LogiCore Freight"/>
    <s v="2021-09-10"/>
    <n v="3100000"/>
    <s v="West"/>
    <n v="2021"/>
    <s v="Yes"/>
    <n v="25.83"/>
  </r>
  <r>
    <s v="P009"/>
    <s v="Lakeview Corporate Center"/>
    <x v="4"/>
    <x v="0"/>
    <n v="55000"/>
    <s v="Active"/>
    <s v="DataSphere Inc"/>
    <s v="2022-06-20"/>
    <n v="2100000"/>
    <s v="West"/>
    <n v="2022"/>
    <s v="Yes"/>
    <n v="38.18"/>
  </r>
  <r>
    <s v="P010"/>
    <s v="Lakeview Corporate Center"/>
    <x v="4"/>
    <x v="0"/>
    <n v="55000"/>
    <s v="Active"/>
    <s v="DataSphere Inc"/>
    <s v="2022-06-20"/>
    <n v="2100000"/>
    <s v="West"/>
    <n v="2022"/>
    <s v="Yes"/>
    <n v="38.18"/>
  </r>
  <r>
    <s v="P011"/>
    <s v="Riverside Plaza"/>
    <x v="0"/>
    <x v="1"/>
    <n v="29000"/>
    <s v="Active"/>
    <s v="Urban Bazaar"/>
    <s v="2023-12-01"/>
    <n v="1150000"/>
    <s v="South"/>
    <n v="2023"/>
    <s v="No"/>
    <n v="39.659999999999997"/>
  </r>
  <r>
    <s v="P012"/>
    <s v="Riverside Plaza"/>
    <x v="0"/>
    <x v="1"/>
    <n v="29000"/>
    <s v="Vacant"/>
    <m/>
    <m/>
    <m/>
    <s v="South"/>
    <n v="1900"/>
    <s v="No"/>
    <n v="0"/>
  </r>
  <r>
    <s v="P013"/>
    <s v="Metro Logistics Hub"/>
    <x v="5"/>
    <x v="2"/>
    <n v="98000"/>
    <s v="Active"/>
    <s v="SwiftShip Ltd"/>
    <s v="2020-03-05"/>
    <n v="2700000"/>
    <s v="North"/>
    <n v="2020"/>
    <s v="Yes"/>
    <n v="27.55"/>
  </r>
  <r>
    <s v="P014"/>
    <s v="Metro Logistics Hub"/>
    <x v="5"/>
    <x v="2"/>
    <n v="98000"/>
    <s v="Active"/>
    <s v="SwiftShip Ltd"/>
    <s v="2020-03-05"/>
    <n v="2700000"/>
    <s v="North"/>
    <n v="2020"/>
    <s v="Yes"/>
    <n v="27.55"/>
  </r>
  <r>
    <s v="P015"/>
    <s v="Crescent IT Park"/>
    <x v="1"/>
    <x v="0"/>
    <n v="71000"/>
    <s v="Active"/>
    <s v="CodeCraft Systems"/>
    <s v="2023-07-18"/>
    <n v="2800000"/>
    <s v="South"/>
    <n v="2023"/>
    <s v="Yes"/>
    <n v="39.44"/>
  </r>
  <r>
    <s v="P016"/>
    <s v="Crescent IT Park"/>
    <x v="1"/>
    <x v="0"/>
    <n v="71000"/>
    <s v="Active"/>
    <s v="CodeCraft Systems"/>
    <s v="2023-07-18"/>
    <n v="2800000"/>
    <s v="South"/>
    <n v="2023"/>
    <s v="Yes"/>
    <n v="39.44"/>
  </r>
  <r>
    <s v="P017"/>
    <s v="Sunrise Retail Court"/>
    <x v="2"/>
    <x v="1"/>
    <n v="21000"/>
    <s v="Active"/>
    <s v="Coastal Mart"/>
    <s v="2024-02-10"/>
    <n v="980000"/>
    <s v="South"/>
    <n v="2024"/>
    <s v="No"/>
    <n v="46.67"/>
  </r>
  <r>
    <s v="P018"/>
    <s v="Sunrise Retail Court"/>
    <x v="2"/>
    <x v="1"/>
    <n v="21000"/>
    <s v="Active"/>
    <s v="Coastal Mart"/>
    <s v="2024-02-10"/>
    <n v="980000"/>
    <s v="South"/>
    <n v="2024"/>
    <s v="No"/>
    <n v="46.67"/>
  </r>
  <r>
    <s v="P019"/>
    <s v="Pinewood Business Center"/>
    <x v="4"/>
    <x v="0"/>
    <n v="40000"/>
    <s v="Active"/>
    <s v="NextGen Analytics"/>
    <s v="2022-10-01"/>
    <n v="1650000"/>
    <s v="West"/>
    <n v="2022"/>
    <s v="No"/>
    <n v="41.25"/>
  </r>
  <r>
    <s v="P020"/>
    <s v="Pinewood Business Center"/>
    <x v="4"/>
    <x v="0"/>
    <n v="40000"/>
    <s v="Vacant"/>
    <m/>
    <m/>
    <m/>
    <s v="West"/>
    <n v="1900"/>
    <s v="No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41FE9-97DE-42A6-B5E2-87E1A96B248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perty Type">
  <location ref="A3:B14" firstHeaderRow="1" firstDataRow="1" firstDataCol="1"/>
  <pivotFields count="13">
    <pivotField showAll="0"/>
    <pivotField showAll="0"/>
    <pivotField axis="axisRow" showAll="0">
      <items count="7">
        <item x="0"/>
        <item x="2"/>
        <item x="5"/>
        <item x="1"/>
        <item x="3"/>
        <item x="4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2"/>
  </rowFields>
  <rowItems count="11">
    <i>
      <x/>
    </i>
    <i r="1">
      <x v="2"/>
    </i>
    <i r="1">
      <x v="4"/>
    </i>
    <i>
      <x v="1"/>
    </i>
    <i r="1">
      <x/>
    </i>
    <i r="1">
      <x v="3"/>
    </i>
    <i r="1">
      <x v="5"/>
    </i>
    <i>
      <x v="2"/>
    </i>
    <i r="1">
      <x/>
    </i>
    <i r="1">
      <x v="1"/>
    </i>
    <i t="grand">
      <x/>
    </i>
  </rowItems>
  <colItems count="1">
    <i/>
  </colItems>
  <dataFields count="1">
    <dataField name="Sum of Total Area (sqft)" fld="4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="93" zoomScaleNormal="93" workbookViewId="0">
      <pane ySplit="1" topLeftCell="A2" activePane="bottomLeft" state="frozen"/>
      <selection pane="bottomLeft" activeCell="A23" sqref="A23"/>
    </sheetView>
  </sheetViews>
  <sheetFormatPr defaultColWidth="8.6328125" defaultRowHeight="14.5" x14ac:dyDescent="0.35"/>
  <cols>
    <col min="1" max="1" width="12" customWidth="1"/>
    <col min="2" max="2" width="26" customWidth="1"/>
    <col min="3" max="3" width="14" customWidth="1"/>
    <col min="4" max="4" width="12" customWidth="1"/>
    <col min="5" max="5" width="16" customWidth="1"/>
    <col min="6" max="6" width="12" customWidth="1"/>
    <col min="7" max="7" width="18" customWidth="1"/>
    <col min="8" max="9" width="16" customWidth="1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3</v>
      </c>
      <c r="E1" s="9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4" t="s">
        <v>9</v>
      </c>
      <c r="B2" s="4" t="s">
        <v>10</v>
      </c>
      <c r="C2" s="4" t="s">
        <v>11</v>
      </c>
      <c r="D2" s="4" t="s">
        <v>12</v>
      </c>
      <c r="E2" s="10">
        <v>45000</v>
      </c>
      <c r="F2" s="4" t="s">
        <v>13</v>
      </c>
      <c r="G2" s="4" t="s">
        <v>14</v>
      </c>
      <c r="H2" s="4" t="s">
        <v>15</v>
      </c>
      <c r="I2" s="4">
        <v>1800000</v>
      </c>
    </row>
    <row r="3" spans="1:9" x14ac:dyDescent="0.35">
      <c r="A3" s="4" t="s">
        <v>16</v>
      </c>
      <c r="B3" s="4" t="s">
        <v>10</v>
      </c>
      <c r="C3" s="4" t="s">
        <v>17</v>
      </c>
      <c r="D3" s="4" t="s">
        <v>12</v>
      </c>
      <c r="E3" s="10">
        <v>45000</v>
      </c>
      <c r="F3" s="4" t="s">
        <v>13</v>
      </c>
      <c r="G3" s="4" t="s">
        <v>14</v>
      </c>
      <c r="H3" s="4" t="s">
        <v>15</v>
      </c>
      <c r="I3" s="4">
        <v>1800000</v>
      </c>
    </row>
    <row r="4" spans="1:9" x14ac:dyDescent="0.35">
      <c r="A4" s="4" t="s">
        <v>18</v>
      </c>
      <c r="B4" s="4" t="s">
        <v>19</v>
      </c>
      <c r="C4" s="4" t="s">
        <v>20</v>
      </c>
      <c r="D4" s="4" t="s">
        <v>12</v>
      </c>
      <c r="E4" s="10">
        <v>62000</v>
      </c>
      <c r="F4" s="4" t="s">
        <v>13</v>
      </c>
      <c r="G4" s="4" t="s">
        <v>21</v>
      </c>
      <c r="H4" s="4" t="s">
        <v>22</v>
      </c>
      <c r="I4" s="4">
        <v>2450000</v>
      </c>
    </row>
    <row r="5" spans="1:9" x14ac:dyDescent="0.35">
      <c r="A5" s="4" t="s">
        <v>23</v>
      </c>
      <c r="B5" s="4" t="s">
        <v>24</v>
      </c>
      <c r="C5" s="4" t="s">
        <v>25</v>
      </c>
      <c r="D5" s="4" t="s">
        <v>26</v>
      </c>
      <c r="E5" s="10">
        <v>62000</v>
      </c>
      <c r="F5" s="4" t="s">
        <v>27</v>
      </c>
      <c r="G5" s="4" t="s">
        <v>21</v>
      </c>
      <c r="H5" s="4" t="s">
        <v>22</v>
      </c>
      <c r="I5" s="4">
        <v>2450000</v>
      </c>
    </row>
    <row r="6" spans="1:9" x14ac:dyDescent="0.35">
      <c r="A6" s="4" t="s">
        <v>28</v>
      </c>
      <c r="B6" s="4" t="s">
        <v>29</v>
      </c>
      <c r="C6" s="4" t="s">
        <v>30</v>
      </c>
      <c r="D6" s="4" t="s">
        <v>31</v>
      </c>
      <c r="E6" s="10">
        <v>38000</v>
      </c>
      <c r="F6" s="4" t="s">
        <v>13</v>
      </c>
      <c r="G6" s="4" t="s">
        <v>32</v>
      </c>
      <c r="H6" s="4" t="s">
        <v>33</v>
      </c>
      <c r="I6" s="4">
        <v>1520000</v>
      </c>
    </row>
    <row r="7" spans="1:9" x14ac:dyDescent="0.35">
      <c r="A7" s="4" t="s">
        <v>34</v>
      </c>
      <c r="B7" s="4" t="s">
        <v>29</v>
      </c>
      <c r="C7" s="4" t="s">
        <v>35</v>
      </c>
      <c r="D7" s="4" t="s">
        <v>31</v>
      </c>
      <c r="E7" s="10">
        <v>38000</v>
      </c>
      <c r="F7" s="4" t="s">
        <v>36</v>
      </c>
      <c r="G7" s="4"/>
      <c r="H7" s="4"/>
      <c r="I7" s="4"/>
    </row>
    <row r="8" spans="1:9" x14ac:dyDescent="0.35">
      <c r="A8" s="4" t="s">
        <v>37</v>
      </c>
      <c r="B8" s="4" t="s">
        <v>38</v>
      </c>
      <c r="C8" s="4" t="s">
        <v>39</v>
      </c>
      <c r="D8" s="4" t="s">
        <v>40</v>
      </c>
      <c r="E8" s="10">
        <v>120000</v>
      </c>
      <c r="F8" s="4" t="s">
        <v>13</v>
      </c>
      <c r="G8" s="4" t="s">
        <v>41</v>
      </c>
      <c r="H8" s="4" t="s">
        <v>42</v>
      </c>
      <c r="I8" s="4">
        <v>3100000</v>
      </c>
    </row>
    <row r="9" spans="1:9" x14ac:dyDescent="0.35">
      <c r="A9" s="4" t="s">
        <v>43</v>
      </c>
      <c r="B9" s="4" t="s">
        <v>38</v>
      </c>
      <c r="C9" s="4" t="s">
        <v>44</v>
      </c>
      <c r="D9" s="4" t="s">
        <v>40</v>
      </c>
      <c r="E9" s="10">
        <v>120000</v>
      </c>
      <c r="F9" s="4" t="s">
        <v>13</v>
      </c>
      <c r="G9" s="4" t="s">
        <v>41</v>
      </c>
      <c r="H9" s="4" t="s">
        <v>42</v>
      </c>
      <c r="I9" s="4">
        <v>3100000</v>
      </c>
    </row>
    <row r="10" spans="1:9" x14ac:dyDescent="0.35">
      <c r="A10" s="4" t="s">
        <v>45</v>
      </c>
      <c r="B10" s="4" t="s">
        <v>46</v>
      </c>
      <c r="C10" s="4" t="s">
        <v>47</v>
      </c>
      <c r="D10" s="4" t="s">
        <v>12</v>
      </c>
      <c r="E10" s="10">
        <v>55000</v>
      </c>
      <c r="F10" s="4" t="s">
        <v>13</v>
      </c>
      <c r="G10" s="4" t="s">
        <v>48</v>
      </c>
      <c r="H10" s="4" t="s">
        <v>49</v>
      </c>
      <c r="I10" s="4">
        <v>2100000</v>
      </c>
    </row>
    <row r="11" spans="1:9" x14ac:dyDescent="0.35">
      <c r="A11" s="4" t="s">
        <v>50</v>
      </c>
      <c r="B11" s="4" t="s">
        <v>46</v>
      </c>
      <c r="C11" s="4" t="s">
        <v>51</v>
      </c>
      <c r="D11" s="4" t="s">
        <v>26</v>
      </c>
      <c r="E11" s="10">
        <v>55000</v>
      </c>
      <c r="F11" s="4" t="s">
        <v>13</v>
      </c>
      <c r="G11" s="4" t="s">
        <v>48</v>
      </c>
      <c r="H11" s="4" t="s">
        <v>49</v>
      </c>
      <c r="I11" s="4">
        <v>2100000</v>
      </c>
    </row>
    <row r="12" spans="1:9" x14ac:dyDescent="0.35">
      <c r="A12" s="4" t="s">
        <v>52</v>
      </c>
      <c r="B12" s="4" t="s">
        <v>53</v>
      </c>
      <c r="C12" s="4" t="s">
        <v>17</v>
      </c>
      <c r="D12" s="4" t="s">
        <v>31</v>
      </c>
      <c r="E12" s="10">
        <v>29000</v>
      </c>
      <c r="F12" s="4" t="s">
        <v>13</v>
      </c>
      <c r="G12" s="4" t="s">
        <v>54</v>
      </c>
      <c r="H12" s="4" t="s">
        <v>55</v>
      </c>
      <c r="I12" s="4">
        <v>1150000</v>
      </c>
    </row>
    <row r="13" spans="1:9" x14ac:dyDescent="0.35">
      <c r="A13" s="4" t="s">
        <v>56</v>
      </c>
      <c r="B13" s="4" t="s">
        <v>53</v>
      </c>
      <c r="C13" s="4" t="s">
        <v>17</v>
      </c>
      <c r="D13" s="4" t="s">
        <v>31</v>
      </c>
      <c r="E13" s="10">
        <v>29000</v>
      </c>
      <c r="F13" s="4" t="s">
        <v>36</v>
      </c>
      <c r="G13" s="4"/>
      <c r="H13" s="4"/>
      <c r="I13" s="4"/>
    </row>
    <row r="14" spans="1:9" x14ac:dyDescent="0.35">
      <c r="A14" s="4" t="s">
        <v>57</v>
      </c>
      <c r="B14" s="4" t="s">
        <v>58</v>
      </c>
      <c r="C14" s="4" t="s">
        <v>59</v>
      </c>
      <c r="D14" s="4" t="s">
        <v>40</v>
      </c>
      <c r="E14" s="10">
        <v>98000</v>
      </c>
      <c r="F14" s="4" t="s">
        <v>13</v>
      </c>
      <c r="G14" s="4" t="s">
        <v>60</v>
      </c>
      <c r="H14" s="4" t="s">
        <v>61</v>
      </c>
      <c r="I14" s="4">
        <v>2700000</v>
      </c>
    </row>
    <row r="15" spans="1:9" x14ac:dyDescent="0.35">
      <c r="A15" s="4" t="s">
        <v>62</v>
      </c>
      <c r="B15" s="4" t="s">
        <v>58</v>
      </c>
      <c r="C15" s="4" t="s">
        <v>63</v>
      </c>
      <c r="D15" s="4" t="s">
        <v>64</v>
      </c>
      <c r="E15" s="10">
        <v>98000</v>
      </c>
      <c r="F15" s="4" t="s">
        <v>13</v>
      </c>
      <c r="G15" s="4" t="s">
        <v>60</v>
      </c>
      <c r="H15" s="4" t="s">
        <v>61</v>
      </c>
      <c r="I15" s="4">
        <v>2700000</v>
      </c>
    </row>
    <row r="16" spans="1:9" x14ac:dyDescent="0.35">
      <c r="A16" s="4" t="s">
        <v>65</v>
      </c>
      <c r="B16" s="4" t="s">
        <v>66</v>
      </c>
      <c r="C16" s="4" t="s">
        <v>67</v>
      </c>
      <c r="D16" s="4" t="s">
        <v>12</v>
      </c>
      <c r="E16" s="10">
        <v>71000</v>
      </c>
      <c r="F16" s="4" t="s">
        <v>13</v>
      </c>
      <c r="G16" s="4" t="s">
        <v>68</v>
      </c>
      <c r="H16" s="4" t="s">
        <v>69</v>
      </c>
      <c r="I16" s="4">
        <v>2800000</v>
      </c>
    </row>
    <row r="17" spans="1:9" x14ac:dyDescent="0.35">
      <c r="A17" s="4" t="s">
        <v>70</v>
      </c>
      <c r="B17" s="4" t="s">
        <v>66</v>
      </c>
      <c r="C17" s="4" t="s">
        <v>25</v>
      </c>
      <c r="D17" s="4" t="s">
        <v>12</v>
      </c>
      <c r="E17" s="10">
        <v>71000</v>
      </c>
      <c r="F17" s="4" t="s">
        <v>13</v>
      </c>
      <c r="G17" s="4" t="s">
        <v>68</v>
      </c>
      <c r="H17" s="4" t="s">
        <v>69</v>
      </c>
      <c r="I17" s="4">
        <v>2800000</v>
      </c>
    </row>
    <row r="18" spans="1:9" x14ac:dyDescent="0.35">
      <c r="A18" s="4" t="s">
        <v>71</v>
      </c>
      <c r="B18" s="4" t="s">
        <v>72</v>
      </c>
      <c r="C18" s="4" t="s">
        <v>30</v>
      </c>
      <c r="D18" s="4" t="s">
        <v>31</v>
      </c>
      <c r="E18" s="10">
        <v>21000</v>
      </c>
      <c r="F18" s="4" t="s">
        <v>13</v>
      </c>
      <c r="G18" s="4" t="s">
        <v>73</v>
      </c>
      <c r="H18" s="4" t="s">
        <v>74</v>
      </c>
      <c r="I18" s="4">
        <v>980000</v>
      </c>
    </row>
    <row r="19" spans="1:9" x14ac:dyDescent="0.35">
      <c r="A19" s="4" t="s">
        <v>75</v>
      </c>
      <c r="B19" s="4" t="s">
        <v>72</v>
      </c>
      <c r="C19" s="4" t="s">
        <v>76</v>
      </c>
      <c r="D19" s="4" t="s">
        <v>77</v>
      </c>
      <c r="E19" s="10">
        <v>21000</v>
      </c>
      <c r="F19" s="4" t="s">
        <v>13</v>
      </c>
      <c r="G19" s="4" t="s">
        <v>73</v>
      </c>
      <c r="H19" s="4" t="s">
        <v>74</v>
      </c>
      <c r="I19" s="4">
        <v>980000</v>
      </c>
    </row>
    <row r="20" spans="1:9" x14ac:dyDescent="0.35">
      <c r="A20" s="4" t="s">
        <v>78</v>
      </c>
      <c r="B20" s="4" t="s">
        <v>79</v>
      </c>
      <c r="C20" s="4" t="s">
        <v>47</v>
      </c>
      <c r="D20" s="4" t="s">
        <v>12</v>
      </c>
      <c r="E20" s="10">
        <v>40000</v>
      </c>
      <c r="F20" s="4" t="s">
        <v>13</v>
      </c>
      <c r="G20" s="4" t="s">
        <v>80</v>
      </c>
      <c r="H20" s="4" t="s">
        <v>81</v>
      </c>
      <c r="I20" s="4">
        <v>1650000</v>
      </c>
    </row>
    <row r="21" spans="1:9" x14ac:dyDescent="0.35">
      <c r="A21" s="4" t="s">
        <v>82</v>
      </c>
      <c r="B21" s="4" t="s">
        <v>79</v>
      </c>
      <c r="C21" s="4" t="s">
        <v>47</v>
      </c>
      <c r="D21" s="4" t="s">
        <v>12</v>
      </c>
      <c r="E21" s="10">
        <v>40000</v>
      </c>
      <c r="F21" s="4" t="s">
        <v>36</v>
      </c>
      <c r="G21" s="4"/>
      <c r="H21" s="4"/>
      <c r="I21" s="4"/>
    </row>
    <row r="23" spans="1:9" x14ac:dyDescent="0.35">
      <c r="A23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0AD95-D71B-47F7-A792-E03B9FDF7D93}">
  <dimension ref="A1:M31"/>
  <sheetViews>
    <sheetView zoomScale="75" zoomScaleNormal="93" workbookViewId="0">
      <pane ySplit="1" topLeftCell="A2" activePane="bottomLeft" state="frozen"/>
      <selection pane="bottomLeft" activeCell="B25" sqref="B25"/>
    </sheetView>
  </sheetViews>
  <sheetFormatPr defaultColWidth="16" defaultRowHeight="14.5" x14ac:dyDescent="0.35"/>
  <cols>
    <col min="9" max="9" width="18.453125" style="12" bestFit="1" customWidth="1"/>
    <col min="12" max="12" width="19.453125" bestFit="1" customWidth="1"/>
  </cols>
  <sheetData>
    <row r="1" spans="1:13" x14ac:dyDescent="0.35">
      <c r="A1" s="3" t="s">
        <v>0</v>
      </c>
      <c r="B1" s="3" t="s">
        <v>1</v>
      </c>
      <c r="C1" s="3" t="s">
        <v>2</v>
      </c>
      <c r="D1" s="3" t="s">
        <v>3</v>
      </c>
      <c r="E1" s="9" t="s">
        <v>4</v>
      </c>
      <c r="F1" s="3" t="s">
        <v>5</v>
      </c>
      <c r="G1" s="3" t="s">
        <v>6</v>
      </c>
      <c r="H1" s="3" t="s">
        <v>7</v>
      </c>
      <c r="I1" s="23" t="s">
        <v>8</v>
      </c>
      <c r="J1" s="3" t="s">
        <v>83</v>
      </c>
      <c r="K1" s="17" t="s">
        <v>112</v>
      </c>
      <c r="L1" s="17" t="s">
        <v>113</v>
      </c>
      <c r="M1" s="17" t="s">
        <v>109</v>
      </c>
    </row>
    <row r="2" spans="1:13" x14ac:dyDescent="0.35">
      <c r="A2" s="4" t="s">
        <v>9</v>
      </c>
      <c r="B2" s="4" t="s">
        <v>10</v>
      </c>
      <c r="C2" s="4" t="s">
        <v>17</v>
      </c>
      <c r="D2" s="4" t="s">
        <v>12</v>
      </c>
      <c r="E2" s="10">
        <v>45000</v>
      </c>
      <c r="F2" s="4" t="s">
        <v>13</v>
      </c>
      <c r="G2" s="4" t="s">
        <v>14</v>
      </c>
      <c r="H2" s="4" t="s">
        <v>15</v>
      </c>
      <c r="I2" s="24">
        <v>1800000</v>
      </c>
      <c r="J2" s="4" t="str">
        <f>INDEX('City-Region Lookup'!$B$2:$B$7,MATCH('Property Data (Modified)'!C2,'City-Region Lookup'!$A$2:$A$7,0))</f>
        <v>South</v>
      </c>
      <c r="K2">
        <f>IF(H2="","",YEAR(H2))</f>
        <v>2023</v>
      </c>
      <c r="L2" t="str">
        <f>IF(I2&gt;2000000,"Yes","No")</f>
        <v>No</v>
      </c>
      <c r="M2">
        <f>ROUND(I2/E2,2)</f>
        <v>40</v>
      </c>
    </row>
    <row r="3" spans="1:13" x14ac:dyDescent="0.35">
      <c r="A3" s="4" t="s">
        <v>16</v>
      </c>
      <c r="B3" s="4" t="s">
        <v>10</v>
      </c>
      <c r="C3" s="4" t="s">
        <v>17</v>
      </c>
      <c r="D3" s="4" t="s">
        <v>12</v>
      </c>
      <c r="E3" s="10">
        <v>45000</v>
      </c>
      <c r="F3" s="4" t="s">
        <v>13</v>
      </c>
      <c r="G3" s="4" t="s">
        <v>14</v>
      </c>
      <c r="H3" s="4" t="s">
        <v>15</v>
      </c>
      <c r="I3" s="24">
        <v>1800000</v>
      </c>
      <c r="J3" s="4" t="str">
        <f>INDEX('City-Region Lookup'!$B$2:$B$7,MATCH('Property Data (Modified)'!C3,'City-Region Lookup'!$A$2:$A$7,0))</f>
        <v>South</v>
      </c>
      <c r="K3">
        <f t="shared" ref="K3:K21" si="0">IF(H3="","",YEAR(H3))</f>
        <v>2023</v>
      </c>
      <c r="L3" t="str">
        <f t="shared" ref="L3:L21" si="1">IF(I3&gt;2000000,"Yes","No")</f>
        <v>No</v>
      </c>
      <c r="M3">
        <f t="shared" ref="M3:M21" si="2">ROUND(I3/E3,2)</f>
        <v>40</v>
      </c>
    </row>
    <row r="4" spans="1:13" x14ac:dyDescent="0.35">
      <c r="A4" s="4" t="s">
        <v>18</v>
      </c>
      <c r="B4" s="4" t="s">
        <v>19</v>
      </c>
      <c r="C4" s="4" t="s">
        <v>25</v>
      </c>
      <c r="D4" s="4" t="s">
        <v>12</v>
      </c>
      <c r="E4" s="10">
        <v>62000</v>
      </c>
      <c r="F4" s="4" t="s">
        <v>13</v>
      </c>
      <c r="G4" s="4" t="s">
        <v>21</v>
      </c>
      <c r="H4" s="4" t="s">
        <v>22</v>
      </c>
      <c r="I4" s="24">
        <v>2450000</v>
      </c>
      <c r="J4" s="4" t="str">
        <f>INDEX('City-Region Lookup'!$B$2:$B$7,MATCH('Property Data (Modified)'!C4,'City-Region Lookup'!$A$2:$A$7,0))</f>
        <v>South</v>
      </c>
      <c r="K4">
        <f t="shared" si="0"/>
        <v>2022</v>
      </c>
      <c r="L4" t="str">
        <f t="shared" si="1"/>
        <v>Yes</v>
      </c>
      <c r="M4">
        <f t="shared" si="2"/>
        <v>39.520000000000003</v>
      </c>
    </row>
    <row r="5" spans="1:13" x14ac:dyDescent="0.35">
      <c r="A5" s="4" t="s">
        <v>23</v>
      </c>
      <c r="B5" s="4" t="s">
        <v>24</v>
      </c>
      <c r="C5" s="4" t="s">
        <v>25</v>
      </c>
      <c r="D5" s="4" t="s">
        <v>12</v>
      </c>
      <c r="E5" s="10">
        <v>62000</v>
      </c>
      <c r="F5" s="4" t="s">
        <v>13</v>
      </c>
      <c r="G5" s="4" t="s">
        <v>21</v>
      </c>
      <c r="H5" s="4" t="s">
        <v>22</v>
      </c>
      <c r="I5" s="24">
        <v>2450000</v>
      </c>
      <c r="J5" s="4" t="str">
        <f>INDEX('City-Region Lookup'!$B$2:$B$7,MATCH('Property Data (Modified)'!C5,'City-Region Lookup'!$A$2:$A$7,0))</f>
        <v>South</v>
      </c>
      <c r="K5">
        <f t="shared" si="0"/>
        <v>2022</v>
      </c>
      <c r="L5" t="str">
        <f t="shared" si="1"/>
        <v>Yes</v>
      </c>
      <c r="M5">
        <f t="shared" si="2"/>
        <v>39.520000000000003</v>
      </c>
    </row>
    <row r="6" spans="1:13" x14ac:dyDescent="0.35">
      <c r="A6" s="4" t="s">
        <v>28</v>
      </c>
      <c r="B6" s="4" t="s">
        <v>29</v>
      </c>
      <c r="C6" s="4" t="s">
        <v>30</v>
      </c>
      <c r="D6" s="4" t="s">
        <v>31</v>
      </c>
      <c r="E6" s="10">
        <v>38000</v>
      </c>
      <c r="F6" s="4" t="s">
        <v>13</v>
      </c>
      <c r="G6" s="4" t="s">
        <v>32</v>
      </c>
      <c r="H6" s="4" t="s">
        <v>33</v>
      </c>
      <c r="I6" s="24">
        <v>1520000</v>
      </c>
      <c r="J6" s="4" t="str">
        <f>INDEX('City-Region Lookup'!$B$2:$B$7,MATCH('Property Data (Modified)'!C6,'City-Region Lookup'!$A$2:$A$7,0))</f>
        <v>South</v>
      </c>
      <c r="K6">
        <f t="shared" si="0"/>
        <v>2024</v>
      </c>
      <c r="L6" t="str">
        <f t="shared" si="1"/>
        <v>No</v>
      </c>
      <c r="M6">
        <f t="shared" si="2"/>
        <v>40</v>
      </c>
    </row>
    <row r="7" spans="1:13" x14ac:dyDescent="0.35">
      <c r="A7" s="4" t="s">
        <v>34</v>
      </c>
      <c r="B7" s="4" t="s">
        <v>29</v>
      </c>
      <c r="C7" s="4" t="s">
        <v>30</v>
      </c>
      <c r="D7" s="4" t="s">
        <v>31</v>
      </c>
      <c r="E7" s="10">
        <v>38000</v>
      </c>
      <c r="F7" s="4" t="s">
        <v>110</v>
      </c>
      <c r="G7" s="4"/>
      <c r="H7" s="4"/>
      <c r="I7" s="24"/>
      <c r="J7" s="4" t="str">
        <f>INDEX('City-Region Lookup'!$B$2:$B$7,MATCH('Property Data (Modified)'!C7,'City-Region Lookup'!$A$2:$A$7,0))</f>
        <v>South</v>
      </c>
      <c r="K7" t="str">
        <f t="shared" si="0"/>
        <v/>
      </c>
      <c r="L7" t="str">
        <f t="shared" si="1"/>
        <v>No</v>
      </c>
      <c r="M7">
        <f t="shared" si="2"/>
        <v>0</v>
      </c>
    </row>
    <row r="8" spans="1:13" x14ac:dyDescent="0.35">
      <c r="A8" s="4" t="s">
        <v>37</v>
      </c>
      <c r="B8" s="4" t="s">
        <v>38</v>
      </c>
      <c r="C8" s="4" t="s">
        <v>39</v>
      </c>
      <c r="D8" s="4" t="s">
        <v>40</v>
      </c>
      <c r="E8" s="10">
        <v>120000</v>
      </c>
      <c r="F8" s="4" t="s">
        <v>13</v>
      </c>
      <c r="G8" s="4" t="s">
        <v>41</v>
      </c>
      <c r="H8" s="4" t="s">
        <v>42</v>
      </c>
      <c r="I8" s="24">
        <v>3100000</v>
      </c>
      <c r="J8" s="4" t="str">
        <f>INDEX('City-Region Lookup'!$B$2:$B$7,MATCH('Property Data (Modified)'!C8,'City-Region Lookup'!$A$2:$A$7,0))</f>
        <v>West</v>
      </c>
      <c r="K8">
        <f t="shared" si="0"/>
        <v>2021</v>
      </c>
      <c r="L8" t="str">
        <f t="shared" si="1"/>
        <v>Yes</v>
      </c>
      <c r="M8">
        <f t="shared" si="2"/>
        <v>25.83</v>
      </c>
    </row>
    <row r="9" spans="1:13" x14ac:dyDescent="0.35">
      <c r="A9" s="4" t="s">
        <v>43</v>
      </c>
      <c r="B9" s="4" t="s">
        <v>38</v>
      </c>
      <c r="C9" s="4" t="s">
        <v>39</v>
      </c>
      <c r="D9" s="4" t="s">
        <v>40</v>
      </c>
      <c r="E9" s="10">
        <v>120000</v>
      </c>
      <c r="F9" s="4" t="s">
        <v>13</v>
      </c>
      <c r="G9" s="4" t="s">
        <v>41</v>
      </c>
      <c r="H9" s="4" t="s">
        <v>42</v>
      </c>
      <c r="I9" s="24">
        <v>3100000</v>
      </c>
      <c r="J9" s="4" t="str">
        <f>INDEX('City-Region Lookup'!$B$2:$B$7,MATCH('Property Data (Modified)'!C9,'City-Region Lookup'!$A$2:$A$7,0))</f>
        <v>West</v>
      </c>
      <c r="K9">
        <f t="shared" si="0"/>
        <v>2021</v>
      </c>
      <c r="L9" t="str">
        <f t="shared" si="1"/>
        <v>Yes</v>
      </c>
      <c r="M9">
        <f t="shared" si="2"/>
        <v>25.83</v>
      </c>
    </row>
    <row r="10" spans="1:13" x14ac:dyDescent="0.35">
      <c r="A10" s="4" t="s">
        <v>45</v>
      </c>
      <c r="B10" s="4" t="s">
        <v>46</v>
      </c>
      <c r="C10" s="4" t="s">
        <v>47</v>
      </c>
      <c r="D10" s="4" t="s">
        <v>12</v>
      </c>
      <c r="E10" s="10">
        <v>55000</v>
      </c>
      <c r="F10" s="4" t="s">
        <v>13</v>
      </c>
      <c r="G10" s="4" t="s">
        <v>48</v>
      </c>
      <c r="H10" s="4" t="s">
        <v>49</v>
      </c>
      <c r="I10" s="24">
        <v>2100000</v>
      </c>
      <c r="J10" s="4" t="str">
        <f>INDEX('City-Region Lookup'!$B$2:$B$7,MATCH('Property Data (Modified)'!C10,'City-Region Lookup'!$A$2:$A$7,0))</f>
        <v>West</v>
      </c>
      <c r="K10">
        <f t="shared" si="0"/>
        <v>2022</v>
      </c>
      <c r="L10" t="str">
        <f t="shared" si="1"/>
        <v>Yes</v>
      </c>
      <c r="M10">
        <f t="shared" si="2"/>
        <v>38.18</v>
      </c>
    </row>
    <row r="11" spans="1:13" x14ac:dyDescent="0.35">
      <c r="A11" s="4" t="s">
        <v>50</v>
      </c>
      <c r="B11" s="4" t="s">
        <v>46</v>
      </c>
      <c r="C11" s="4" t="s">
        <v>47</v>
      </c>
      <c r="D11" s="4" t="s">
        <v>12</v>
      </c>
      <c r="E11" s="10">
        <v>55000</v>
      </c>
      <c r="F11" s="4" t="s">
        <v>13</v>
      </c>
      <c r="G11" s="4" t="s">
        <v>48</v>
      </c>
      <c r="H11" s="4" t="s">
        <v>49</v>
      </c>
      <c r="I11" s="24">
        <v>2100000</v>
      </c>
      <c r="J11" s="4" t="str">
        <f>INDEX('City-Region Lookup'!$B$2:$B$7,MATCH('Property Data (Modified)'!C11,'City-Region Lookup'!$A$2:$A$7,0))</f>
        <v>West</v>
      </c>
      <c r="K11">
        <f t="shared" si="0"/>
        <v>2022</v>
      </c>
      <c r="L11" t="str">
        <f t="shared" si="1"/>
        <v>Yes</v>
      </c>
      <c r="M11">
        <f t="shared" si="2"/>
        <v>38.18</v>
      </c>
    </row>
    <row r="12" spans="1:13" x14ac:dyDescent="0.35">
      <c r="A12" s="4" t="s">
        <v>52</v>
      </c>
      <c r="B12" s="4" t="s">
        <v>53</v>
      </c>
      <c r="C12" s="4" t="s">
        <v>17</v>
      </c>
      <c r="D12" s="4" t="s">
        <v>31</v>
      </c>
      <c r="E12" s="10">
        <v>29000</v>
      </c>
      <c r="F12" s="4" t="s">
        <v>13</v>
      </c>
      <c r="G12" s="4" t="s">
        <v>54</v>
      </c>
      <c r="H12" s="4" t="s">
        <v>55</v>
      </c>
      <c r="I12" s="24">
        <v>1150000</v>
      </c>
      <c r="J12" s="4" t="str">
        <f>INDEX('City-Region Lookup'!$B$2:$B$7,MATCH('Property Data (Modified)'!C12,'City-Region Lookup'!$A$2:$A$7,0))</f>
        <v>South</v>
      </c>
      <c r="K12">
        <f t="shared" si="0"/>
        <v>2023</v>
      </c>
      <c r="L12" t="str">
        <f t="shared" si="1"/>
        <v>No</v>
      </c>
      <c r="M12">
        <f t="shared" si="2"/>
        <v>39.659999999999997</v>
      </c>
    </row>
    <row r="13" spans="1:13" x14ac:dyDescent="0.35">
      <c r="A13" s="4" t="s">
        <v>56</v>
      </c>
      <c r="B13" s="4" t="s">
        <v>53</v>
      </c>
      <c r="C13" s="4" t="s">
        <v>17</v>
      </c>
      <c r="D13" s="4" t="s">
        <v>31</v>
      </c>
      <c r="E13" s="10">
        <v>29000</v>
      </c>
      <c r="F13" s="4" t="s">
        <v>110</v>
      </c>
      <c r="G13" s="4"/>
      <c r="H13" s="4"/>
      <c r="I13" s="24"/>
      <c r="J13" s="4" t="str">
        <f>INDEX('City-Region Lookup'!$B$2:$B$7,MATCH('Property Data (Modified)'!C13,'City-Region Lookup'!$A$2:$A$7,0))</f>
        <v>South</v>
      </c>
      <c r="K13" t="str">
        <f t="shared" si="0"/>
        <v/>
      </c>
      <c r="L13" t="str">
        <f t="shared" si="1"/>
        <v>No</v>
      </c>
      <c r="M13">
        <f t="shared" si="2"/>
        <v>0</v>
      </c>
    </row>
    <row r="14" spans="1:13" x14ac:dyDescent="0.35">
      <c r="A14" s="4" t="s">
        <v>57</v>
      </c>
      <c r="B14" s="4" t="s">
        <v>58</v>
      </c>
      <c r="C14" s="4" t="s">
        <v>59</v>
      </c>
      <c r="D14" s="4" t="s">
        <v>40</v>
      </c>
      <c r="E14" s="10">
        <v>98000</v>
      </c>
      <c r="F14" s="4" t="s">
        <v>13</v>
      </c>
      <c r="G14" s="4" t="s">
        <v>60</v>
      </c>
      <c r="H14" s="4" t="s">
        <v>61</v>
      </c>
      <c r="I14" s="24">
        <v>2700000</v>
      </c>
      <c r="J14" s="4" t="str">
        <f>INDEX('City-Region Lookup'!$B$2:$B$7,MATCH('Property Data (Modified)'!C14,'City-Region Lookup'!$A$2:$A$7,0))</f>
        <v>North</v>
      </c>
      <c r="K14">
        <f t="shared" si="0"/>
        <v>2020</v>
      </c>
      <c r="L14" t="str">
        <f t="shared" si="1"/>
        <v>Yes</v>
      </c>
      <c r="M14">
        <f t="shared" si="2"/>
        <v>27.55</v>
      </c>
    </row>
    <row r="15" spans="1:13" x14ac:dyDescent="0.35">
      <c r="A15" s="4" t="s">
        <v>62</v>
      </c>
      <c r="B15" s="4" t="s">
        <v>58</v>
      </c>
      <c r="C15" s="4" t="s">
        <v>59</v>
      </c>
      <c r="D15" s="4" t="s">
        <v>40</v>
      </c>
      <c r="E15" s="10">
        <v>98000</v>
      </c>
      <c r="F15" s="4" t="s">
        <v>13</v>
      </c>
      <c r="G15" s="4" t="s">
        <v>60</v>
      </c>
      <c r="H15" s="4" t="s">
        <v>61</v>
      </c>
      <c r="I15" s="24">
        <v>2700000</v>
      </c>
      <c r="J15" s="4" t="str">
        <f>INDEX('City-Region Lookup'!$B$2:$B$7,MATCH('Property Data (Modified)'!C15,'City-Region Lookup'!$A$2:$A$7,0))</f>
        <v>North</v>
      </c>
      <c r="K15">
        <f t="shared" si="0"/>
        <v>2020</v>
      </c>
      <c r="L15" t="str">
        <f t="shared" si="1"/>
        <v>Yes</v>
      </c>
      <c r="M15">
        <f t="shared" si="2"/>
        <v>27.55</v>
      </c>
    </row>
    <row r="16" spans="1:13" x14ac:dyDescent="0.35">
      <c r="A16" s="4" t="s">
        <v>65</v>
      </c>
      <c r="B16" s="4" t="s">
        <v>66</v>
      </c>
      <c r="C16" s="4" t="s">
        <v>25</v>
      </c>
      <c r="D16" s="4" t="s">
        <v>12</v>
      </c>
      <c r="E16" s="10">
        <v>71000</v>
      </c>
      <c r="F16" s="4" t="s">
        <v>13</v>
      </c>
      <c r="G16" s="4" t="s">
        <v>68</v>
      </c>
      <c r="H16" s="4" t="s">
        <v>69</v>
      </c>
      <c r="I16" s="24">
        <v>2800000</v>
      </c>
      <c r="J16" s="4" t="str">
        <f>INDEX('City-Region Lookup'!$B$2:$B$7,MATCH('Property Data (Modified)'!C16,'City-Region Lookup'!$A$2:$A$7,0))</f>
        <v>South</v>
      </c>
      <c r="K16">
        <f t="shared" si="0"/>
        <v>2023</v>
      </c>
      <c r="L16" t="str">
        <f t="shared" si="1"/>
        <v>Yes</v>
      </c>
      <c r="M16">
        <f t="shared" si="2"/>
        <v>39.44</v>
      </c>
    </row>
    <row r="17" spans="1:13" x14ac:dyDescent="0.35">
      <c r="A17" s="4" t="s">
        <v>70</v>
      </c>
      <c r="B17" s="4" t="s">
        <v>66</v>
      </c>
      <c r="C17" s="4" t="s">
        <v>25</v>
      </c>
      <c r="D17" s="4" t="s">
        <v>12</v>
      </c>
      <c r="E17" s="10">
        <v>71000</v>
      </c>
      <c r="F17" s="4" t="s">
        <v>13</v>
      </c>
      <c r="G17" s="4" t="s">
        <v>68</v>
      </c>
      <c r="H17" s="4" t="s">
        <v>69</v>
      </c>
      <c r="I17" s="24">
        <v>2800000</v>
      </c>
      <c r="J17" s="4" t="str">
        <f>INDEX('City-Region Lookup'!$B$2:$B$7,MATCH('Property Data (Modified)'!C17,'City-Region Lookup'!$A$2:$A$7,0))</f>
        <v>South</v>
      </c>
      <c r="K17">
        <f t="shared" si="0"/>
        <v>2023</v>
      </c>
      <c r="L17" t="str">
        <f t="shared" si="1"/>
        <v>Yes</v>
      </c>
      <c r="M17">
        <f t="shared" si="2"/>
        <v>39.44</v>
      </c>
    </row>
    <row r="18" spans="1:13" x14ac:dyDescent="0.35">
      <c r="A18" s="4" t="s">
        <v>71</v>
      </c>
      <c r="B18" s="4" t="s">
        <v>72</v>
      </c>
      <c r="C18" s="4" t="s">
        <v>30</v>
      </c>
      <c r="D18" s="4" t="s">
        <v>31</v>
      </c>
      <c r="E18" s="10">
        <v>21000</v>
      </c>
      <c r="F18" s="4" t="s">
        <v>13</v>
      </c>
      <c r="G18" s="4" t="s">
        <v>73</v>
      </c>
      <c r="H18" s="4" t="s">
        <v>74</v>
      </c>
      <c r="I18" s="24">
        <v>980000</v>
      </c>
      <c r="J18" s="4" t="str">
        <f>INDEX('City-Region Lookup'!$B$2:$B$7,MATCH('Property Data (Modified)'!C18,'City-Region Lookup'!$A$2:$A$7,0))</f>
        <v>South</v>
      </c>
      <c r="K18">
        <f t="shared" si="0"/>
        <v>2024</v>
      </c>
      <c r="L18" t="str">
        <f t="shared" si="1"/>
        <v>No</v>
      </c>
      <c r="M18">
        <f t="shared" si="2"/>
        <v>46.67</v>
      </c>
    </row>
    <row r="19" spans="1:13" x14ac:dyDescent="0.35">
      <c r="A19" s="4" t="s">
        <v>75</v>
      </c>
      <c r="B19" s="4" t="s">
        <v>72</v>
      </c>
      <c r="C19" s="4" t="s">
        <v>30</v>
      </c>
      <c r="D19" s="4" t="s">
        <v>31</v>
      </c>
      <c r="E19" s="10">
        <v>21000</v>
      </c>
      <c r="F19" s="4" t="s">
        <v>13</v>
      </c>
      <c r="G19" s="4" t="s">
        <v>73</v>
      </c>
      <c r="H19" s="4" t="s">
        <v>74</v>
      </c>
      <c r="I19" s="24">
        <v>980000</v>
      </c>
      <c r="J19" s="4" t="str">
        <f>INDEX('City-Region Lookup'!$B$2:$B$7,MATCH('Property Data (Modified)'!C19,'City-Region Lookup'!$A$2:$A$7,0))</f>
        <v>South</v>
      </c>
      <c r="K19">
        <f t="shared" si="0"/>
        <v>2024</v>
      </c>
      <c r="L19" t="str">
        <f t="shared" si="1"/>
        <v>No</v>
      </c>
      <c r="M19">
        <f t="shared" si="2"/>
        <v>46.67</v>
      </c>
    </row>
    <row r="20" spans="1:13" x14ac:dyDescent="0.35">
      <c r="A20" s="4" t="s">
        <v>78</v>
      </c>
      <c r="B20" s="4" t="s">
        <v>79</v>
      </c>
      <c r="C20" s="4" t="s">
        <v>47</v>
      </c>
      <c r="D20" s="4" t="s">
        <v>12</v>
      </c>
      <c r="E20" s="10">
        <v>40000</v>
      </c>
      <c r="F20" s="4" t="s">
        <v>13</v>
      </c>
      <c r="G20" s="4" t="s">
        <v>80</v>
      </c>
      <c r="H20" s="4" t="s">
        <v>81</v>
      </c>
      <c r="I20" s="24">
        <v>1650000</v>
      </c>
      <c r="J20" s="4" t="str">
        <f>INDEX('City-Region Lookup'!$B$2:$B$7,MATCH('Property Data (Modified)'!C20,'City-Region Lookup'!$A$2:$A$7,0))</f>
        <v>West</v>
      </c>
      <c r="K20">
        <f t="shared" si="0"/>
        <v>2022</v>
      </c>
      <c r="L20" t="str">
        <f t="shared" si="1"/>
        <v>No</v>
      </c>
      <c r="M20">
        <f t="shared" si="2"/>
        <v>41.25</v>
      </c>
    </row>
    <row r="21" spans="1:13" x14ac:dyDescent="0.35">
      <c r="A21" s="4" t="s">
        <v>82</v>
      </c>
      <c r="B21" s="4" t="s">
        <v>79</v>
      </c>
      <c r="C21" s="4" t="s">
        <v>47</v>
      </c>
      <c r="D21" s="4" t="s">
        <v>12</v>
      </c>
      <c r="E21" s="10">
        <v>40000</v>
      </c>
      <c r="F21" s="4" t="s">
        <v>110</v>
      </c>
      <c r="G21" s="4"/>
      <c r="H21" s="4"/>
      <c r="I21" s="24"/>
      <c r="J21" s="4" t="str">
        <f>INDEX('City-Region Lookup'!$B$2:$B$7,MATCH('Property Data (Modified)'!C21,'City-Region Lookup'!$A$2:$A$7,0))</f>
        <v>West</v>
      </c>
      <c r="K21" t="str">
        <f t="shared" si="0"/>
        <v/>
      </c>
      <c r="L21" t="str">
        <f t="shared" si="1"/>
        <v>No</v>
      </c>
      <c r="M21">
        <f t="shared" si="2"/>
        <v>0</v>
      </c>
    </row>
    <row r="22" spans="1:13" x14ac:dyDescent="0.35">
      <c r="I22" s="25"/>
    </row>
    <row r="23" spans="1:13" x14ac:dyDescent="0.35">
      <c r="A23" s="5"/>
    </row>
    <row r="25" spans="1:13" ht="98" x14ac:dyDescent="0.35">
      <c r="A25" s="11" t="s">
        <v>92</v>
      </c>
      <c r="B25">
        <f>COUNTIFS($B$2:$B$21,B2,$C$2:$C$21,C2,$H$2:$H$21,H2)</f>
        <v>2</v>
      </c>
    </row>
    <row r="26" spans="1:13" ht="84" x14ac:dyDescent="0.35">
      <c r="A26" s="11" t="s">
        <v>99</v>
      </c>
      <c r="B26" s="4"/>
    </row>
    <row r="27" spans="1:13" x14ac:dyDescent="0.35">
      <c r="A27" s="11"/>
      <c r="B27" s="15" t="s">
        <v>13</v>
      </c>
      <c r="C27" s="16" t="s">
        <v>110</v>
      </c>
    </row>
    <row r="28" spans="1:13" x14ac:dyDescent="0.35">
      <c r="A28" s="15" t="s">
        <v>12</v>
      </c>
      <c r="B28">
        <f>COUNTIFS(D2:D21,"Office",F2:F21,"Active")</f>
        <v>9</v>
      </c>
      <c r="C28">
        <f>COUNTIFS(D2:D21,"Office",F2:F21,"Vacant")</f>
        <v>1</v>
      </c>
    </row>
    <row r="29" spans="1:13" x14ac:dyDescent="0.35">
      <c r="A29" s="15" t="s">
        <v>31</v>
      </c>
      <c r="B29">
        <f>COUNTIFS(D2:D21,"Retail",F2:F21,"Active")</f>
        <v>4</v>
      </c>
      <c r="C29">
        <f>COUNTIFS(D2:D21,"Retail",F2:F21,"Vacant")</f>
        <v>2</v>
      </c>
    </row>
    <row r="30" spans="1:13" x14ac:dyDescent="0.35">
      <c r="A30" s="15" t="s">
        <v>40</v>
      </c>
      <c r="B30">
        <f>COUNTIFS(D2:D21,"Industrial",F2:F21,"Active")</f>
        <v>4</v>
      </c>
      <c r="C30">
        <f>COUNTIFS(D2:D21,"Industrial",F2:F21,"Vacant")</f>
        <v>0</v>
      </c>
    </row>
    <row r="31" spans="1:13" x14ac:dyDescent="0.35">
      <c r="A31" s="4"/>
    </row>
  </sheetData>
  <conditionalFormatting sqref="I2:I21">
    <cfRule type="cellIs" dxfId="0" priority="2" operator="greaterThan">
      <formula>2500000</formula>
    </cfRule>
    <cfRule type="cellIs" dxfId="1" priority="1" operator="greaterThan">
      <formula>2500000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workbookViewId="0">
      <selection activeCell="C1" sqref="C1"/>
    </sheetView>
  </sheetViews>
  <sheetFormatPr defaultColWidth="8.6328125" defaultRowHeight="14.5" x14ac:dyDescent="0.35"/>
  <cols>
    <col min="1" max="1" width="14" customWidth="1"/>
    <col min="2" max="2" width="12" customWidth="1"/>
  </cols>
  <sheetData>
    <row r="1" spans="1:2" x14ac:dyDescent="0.35">
      <c r="A1" s="6" t="s">
        <v>2</v>
      </c>
      <c r="B1" s="6" t="s">
        <v>83</v>
      </c>
    </row>
    <row r="2" spans="1:2" x14ac:dyDescent="0.35">
      <c r="A2" s="4" t="s">
        <v>17</v>
      </c>
      <c r="B2" s="4" t="s">
        <v>84</v>
      </c>
    </row>
    <row r="3" spans="1:2" x14ac:dyDescent="0.35">
      <c r="A3" s="4" t="s">
        <v>25</v>
      </c>
      <c r="B3" s="4" t="s">
        <v>84</v>
      </c>
    </row>
    <row r="4" spans="1:2" x14ac:dyDescent="0.35">
      <c r="A4" s="4" t="s">
        <v>30</v>
      </c>
      <c r="B4" s="4" t="s">
        <v>84</v>
      </c>
    </row>
    <row r="5" spans="1:2" x14ac:dyDescent="0.35">
      <c r="A5" s="4" t="s">
        <v>39</v>
      </c>
      <c r="B5" s="4" t="s">
        <v>85</v>
      </c>
    </row>
    <row r="6" spans="1:2" x14ac:dyDescent="0.35">
      <c r="A6" s="4" t="s">
        <v>47</v>
      </c>
      <c r="B6" s="4" t="s">
        <v>85</v>
      </c>
    </row>
    <row r="7" spans="1:2" x14ac:dyDescent="0.35">
      <c r="A7" s="4" t="s">
        <v>59</v>
      </c>
      <c r="B7" s="4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624CA-D5EC-4CD8-8280-2EE9EB9D6DD2}">
  <dimension ref="A1:C7"/>
  <sheetViews>
    <sheetView zoomScale="51" zoomScaleNormal="100" workbookViewId="0">
      <selection activeCell="C5" sqref="C5"/>
    </sheetView>
  </sheetViews>
  <sheetFormatPr defaultColWidth="8.6328125" defaultRowHeight="14.5" x14ac:dyDescent="0.35"/>
  <cols>
    <col min="1" max="1" width="14" customWidth="1"/>
    <col min="2" max="2" width="12" customWidth="1"/>
    <col min="3" max="3" width="17.90625" style="13" bestFit="1" customWidth="1"/>
  </cols>
  <sheetData>
    <row r="1" spans="1:3" x14ac:dyDescent="0.35">
      <c r="A1" s="6" t="s">
        <v>2</v>
      </c>
      <c r="B1" s="6" t="s">
        <v>83</v>
      </c>
      <c r="C1" s="14" t="s">
        <v>111</v>
      </c>
    </row>
    <row r="2" spans="1:3" x14ac:dyDescent="0.35">
      <c r="A2" s="4" t="s">
        <v>17</v>
      </c>
      <c r="B2" s="4" t="s">
        <v>84</v>
      </c>
      <c r="C2" s="13">
        <f>SUMIFS('Property Data (Modified)'!$I$2:$I$21,'Property Data (Modified)'!$C$2:$C$21,'City-Region Lookup (Modified)'!A2,'Property Data (Modified)'!$F$2:$F$21,"Active")</f>
        <v>4750000</v>
      </c>
    </row>
    <row r="3" spans="1:3" x14ac:dyDescent="0.35">
      <c r="A3" s="4" t="s">
        <v>25</v>
      </c>
      <c r="B3" s="4" t="s">
        <v>84</v>
      </c>
      <c r="C3" s="13">
        <f>SUMIFS('Property Data (Modified)'!$I$2:$I$21,'Property Data (Modified)'!$C$2:$C$21,'City-Region Lookup (Modified)'!A3,'Property Data (Modified)'!$F$2:$F$21,"Active")</f>
        <v>10500000</v>
      </c>
    </row>
    <row r="4" spans="1:3" x14ac:dyDescent="0.35">
      <c r="A4" s="4" t="s">
        <v>30</v>
      </c>
      <c r="B4" s="4" t="s">
        <v>84</v>
      </c>
      <c r="C4" s="13">
        <f>SUMIFS('Property Data (Modified)'!$I$2:$I$21,'Property Data (Modified)'!$C$2:$C$21,'City-Region Lookup (Modified)'!A4,'Property Data (Modified)'!$F$2:$F$21,"Active")</f>
        <v>3480000</v>
      </c>
    </row>
    <row r="5" spans="1:3" x14ac:dyDescent="0.35">
      <c r="A5" s="4" t="s">
        <v>39</v>
      </c>
      <c r="B5" s="4" t="s">
        <v>85</v>
      </c>
      <c r="C5" s="13">
        <f>SUMIFS('Property Data (Modified)'!$I$2:$I$21,'Property Data (Modified)'!$C$2:$C$21,'City-Region Lookup (Modified)'!A5,'Property Data (Modified)'!$F$2:$F$21,"Active")</f>
        <v>6200000</v>
      </c>
    </row>
    <row r="6" spans="1:3" x14ac:dyDescent="0.35">
      <c r="A6" s="4" t="s">
        <v>47</v>
      </c>
      <c r="B6" s="4" t="s">
        <v>85</v>
      </c>
      <c r="C6" s="13">
        <f>SUMIFS('Property Data (Modified)'!$I$2:$I$21,'Property Data (Modified)'!$C$2:$C$21,'City-Region Lookup (Modified)'!A6,'Property Data (Modified)'!$F$2:$F$21,"Active")</f>
        <v>5850000</v>
      </c>
    </row>
    <row r="7" spans="1:3" x14ac:dyDescent="0.35">
      <c r="A7" s="4" t="s">
        <v>59</v>
      </c>
      <c r="B7" s="4" t="s">
        <v>86</v>
      </c>
      <c r="C7" s="13">
        <f>SUMIFS('Property Data (Modified)'!$I$2:$I$21,'Property Data (Modified)'!$C$2:$C$21,'City-Region Lookup (Modified)'!A7,'Property Data (Modified)'!$F$2:$F$21,"Active")</f>
        <v>5400000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C47E-3DE8-4E7C-A294-53E21B533E52}">
  <dimension ref="A1:E14"/>
  <sheetViews>
    <sheetView zoomScale="90" workbookViewId="0">
      <selection activeCell="G11" sqref="G11"/>
    </sheetView>
  </sheetViews>
  <sheetFormatPr defaultRowHeight="14.5" x14ac:dyDescent="0.35"/>
  <cols>
    <col min="1" max="1" width="14.90625" bestFit="1" customWidth="1"/>
    <col min="2" max="2" width="20.90625" bestFit="1" customWidth="1"/>
    <col min="3" max="3" width="7.6328125" bestFit="1" customWidth="1"/>
    <col min="4" max="4" width="6.81640625" bestFit="1" customWidth="1"/>
    <col min="5" max="5" width="10" bestFit="1" customWidth="1"/>
    <col min="6" max="6" width="7.81640625" bestFit="1" customWidth="1"/>
    <col min="7" max="7" width="6.81640625" bestFit="1" customWidth="1"/>
    <col min="8" max="8" width="10.7265625" bestFit="1" customWidth="1"/>
  </cols>
  <sheetData>
    <row r="1" spans="1:5" ht="17.5" customHeight="1" x14ac:dyDescent="0.35">
      <c r="A1" s="26" t="s">
        <v>106</v>
      </c>
      <c r="B1" s="26"/>
      <c r="C1" s="26"/>
      <c r="D1" s="26"/>
      <c r="E1" s="26"/>
    </row>
    <row r="3" spans="1:5" x14ac:dyDescent="0.35">
      <c r="A3" s="19" t="s">
        <v>3</v>
      </c>
      <c r="B3" t="s">
        <v>116</v>
      </c>
    </row>
    <row r="4" spans="1:5" x14ac:dyDescent="0.35">
      <c r="A4" s="20" t="s">
        <v>40</v>
      </c>
      <c r="B4" s="21">
        <v>436000</v>
      </c>
    </row>
    <row r="5" spans="1:5" x14ac:dyDescent="0.35">
      <c r="A5" s="22" t="s">
        <v>59</v>
      </c>
      <c r="B5" s="21">
        <v>196000</v>
      </c>
    </row>
    <row r="6" spans="1:5" x14ac:dyDescent="0.35">
      <c r="A6" s="22" t="s">
        <v>39</v>
      </c>
      <c r="B6" s="21">
        <v>240000</v>
      </c>
    </row>
    <row r="7" spans="1:5" x14ac:dyDescent="0.35">
      <c r="A7" s="20" t="s">
        <v>12</v>
      </c>
      <c r="B7" s="21">
        <v>546000</v>
      </c>
    </row>
    <row r="8" spans="1:5" x14ac:dyDescent="0.35">
      <c r="A8" s="22" t="s">
        <v>17</v>
      </c>
      <c r="B8" s="21">
        <v>90000</v>
      </c>
    </row>
    <row r="9" spans="1:5" x14ac:dyDescent="0.35">
      <c r="A9" s="22" t="s">
        <v>25</v>
      </c>
      <c r="B9" s="21">
        <v>266000</v>
      </c>
    </row>
    <row r="10" spans="1:5" x14ac:dyDescent="0.35">
      <c r="A10" s="22" t="s">
        <v>47</v>
      </c>
      <c r="B10" s="21">
        <v>190000</v>
      </c>
    </row>
    <row r="11" spans="1:5" x14ac:dyDescent="0.35">
      <c r="A11" s="20" t="s">
        <v>31</v>
      </c>
      <c r="B11" s="21">
        <v>176000</v>
      </c>
    </row>
    <row r="12" spans="1:5" x14ac:dyDescent="0.35">
      <c r="A12" s="22" t="s">
        <v>17</v>
      </c>
      <c r="B12" s="21">
        <v>58000</v>
      </c>
    </row>
    <row r="13" spans="1:5" x14ac:dyDescent="0.35">
      <c r="A13" s="22" t="s">
        <v>30</v>
      </c>
      <c r="B13" s="21">
        <v>118000</v>
      </c>
    </row>
    <row r="14" spans="1:5" x14ac:dyDescent="0.35">
      <c r="A14" s="20" t="s">
        <v>115</v>
      </c>
      <c r="B14" s="21">
        <v>1158000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topLeftCell="A2" zoomScale="77" zoomScaleNormal="100" workbookViewId="0">
      <selection activeCell="D8" sqref="D8"/>
    </sheetView>
  </sheetViews>
  <sheetFormatPr defaultColWidth="8.6328125" defaultRowHeight="14.5" x14ac:dyDescent="0.35"/>
  <cols>
    <col min="1" max="1" width="6" customWidth="1"/>
    <col min="2" max="2" width="95" customWidth="1"/>
  </cols>
  <sheetData>
    <row r="1" spans="1:3" ht="17.5" x14ac:dyDescent="0.35">
      <c r="A1" s="27" t="s">
        <v>117</v>
      </c>
      <c r="B1" s="2"/>
    </row>
    <row r="2" spans="1:3" x14ac:dyDescent="0.35">
      <c r="A2" s="1"/>
      <c r="B2" s="1"/>
    </row>
    <row r="4" spans="1:3" ht="27.75" customHeight="1" x14ac:dyDescent="0.35">
      <c r="A4" s="7" t="s">
        <v>87</v>
      </c>
      <c r="B4" s="8" t="s">
        <v>88</v>
      </c>
    </row>
    <row r="5" spans="1:3" ht="27.75" customHeight="1" x14ac:dyDescent="0.35">
      <c r="A5" s="7" t="s">
        <v>89</v>
      </c>
      <c r="B5" s="8" t="s">
        <v>90</v>
      </c>
    </row>
    <row r="6" spans="1:3" ht="27.75" customHeight="1" x14ac:dyDescent="0.35">
      <c r="A6" s="7" t="s">
        <v>91</v>
      </c>
      <c r="B6" s="8" t="s">
        <v>92</v>
      </c>
      <c r="C6">
        <v>2</v>
      </c>
    </row>
    <row r="7" spans="1:3" ht="27.75" customHeight="1" x14ac:dyDescent="0.35">
      <c r="A7" s="7" t="s">
        <v>93</v>
      </c>
      <c r="B7" s="18" t="s">
        <v>118</v>
      </c>
    </row>
    <row r="8" spans="1:3" ht="27.75" customHeight="1" x14ac:dyDescent="0.35">
      <c r="A8" s="7" t="s">
        <v>94</v>
      </c>
      <c r="B8" s="8" t="s">
        <v>95</v>
      </c>
    </row>
    <row r="9" spans="1:3" ht="27.75" customHeight="1" x14ac:dyDescent="0.35">
      <c r="A9" s="7" t="s">
        <v>96</v>
      </c>
      <c r="B9" s="8" t="s">
        <v>97</v>
      </c>
    </row>
    <row r="10" spans="1:3" ht="27.75" customHeight="1" x14ac:dyDescent="0.35">
      <c r="A10" s="7" t="s">
        <v>98</v>
      </c>
      <c r="B10" s="8" t="s">
        <v>99</v>
      </c>
    </row>
    <row r="11" spans="1:3" ht="27.75" customHeight="1" x14ac:dyDescent="0.35">
      <c r="A11" s="7" t="s">
        <v>100</v>
      </c>
      <c r="B11" s="8" t="s">
        <v>101</v>
      </c>
    </row>
    <row r="12" spans="1:3" ht="27.75" customHeight="1" x14ac:dyDescent="0.35">
      <c r="A12" s="7" t="s">
        <v>102</v>
      </c>
      <c r="B12" s="8" t="s">
        <v>103</v>
      </c>
    </row>
    <row r="13" spans="1:3" ht="27.75" customHeight="1" x14ac:dyDescent="0.35">
      <c r="A13" s="7" t="s">
        <v>104</v>
      </c>
      <c r="B13" s="18" t="s">
        <v>114</v>
      </c>
    </row>
    <row r="14" spans="1:3" ht="27.75" customHeight="1" x14ac:dyDescent="0.35">
      <c r="A14" s="7" t="s">
        <v>105</v>
      </c>
      <c r="B14" s="8" t="s">
        <v>106</v>
      </c>
    </row>
    <row r="15" spans="1:3" ht="27.75" customHeight="1" x14ac:dyDescent="0.35">
      <c r="A15" s="7" t="s">
        <v>107</v>
      </c>
      <c r="B15" s="18" t="s">
        <v>108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Property Data (Raw)</vt:lpstr>
      <vt:lpstr>Property Data (Modified)</vt:lpstr>
      <vt:lpstr>City-Region Lookup</vt:lpstr>
      <vt:lpstr>City-Region Lookup (Modified)</vt:lpstr>
      <vt:lpstr>Pivot Table</vt:lpstr>
      <vt:lpstr>Practice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Pravalika Ravalkol</cp:lastModifiedBy>
  <cp:revision>0</cp:revision>
  <dcterms:created xsi:type="dcterms:W3CDTF">2026-09-23T06:30:02Z</dcterms:created>
  <dcterms:modified xsi:type="dcterms:W3CDTF">2026-09-23T09:34:37Z</dcterms:modified>
  <dc:language>en-US</dc:language>
</cp:coreProperties>
</file>