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aval\Downloads\"/>
    </mc:Choice>
  </mc:AlternateContent>
  <xr:revisionPtr revIDLastSave="0" documentId="13_ncr:1_{C8ED35D7-DAEE-4357-86FE-709C1A7E3745}" xr6:coauthVersionLast="47" xr6:coauthVersionMax="47" xr10:uidLastSave="{00000000-0000-0000-0000-000000000000}"/>
  <bookViews>
    <workbookView xWindow="-110" yWindow="-110" windowWidth="19420" windowHeight="10300" tabRatio="500" activeTab="2" xr2:uid="{00000000-000D-0000-FFFF-FFFF00000000}"/>
  </bookViews>
  <sheets>
    <sheet name="Practice Tasks" sheetId="6" r:id="rId1"/>
    <sheet name="Portfolio Data (Raw)" sheetId="1" r:id="rId2"/>
    <sheet name="Portfolio Data (Modified)" sheetId="8" r:id="rId3"/>
    <sheet name="City-State Lookup" sheetId="2" r:id="rId4"/>
    <sheet name="State-Region Lookup" sheetId="3" r:id="rId5"/>
    <sheet name="Rent Band Table" sheetId="4" r:id="rId6"/>
    <sheet name="Benchmark Rate Card" sheetId="5" r:id="rId7"/>
    <sheet name="Pivot Table" sheetId="11" r:id="rId8"/>
  </sheets>
  <definedNames>
    <definedName name="_xlnm._FilterDatabase" localSheetId="2" hidden="1">'Portfolio Data (Modified)'!$C$1:$C$62</definedName>
  </definedNames>
  <calcPr calcId="191029" iterateDelta="1E-4"/>
  <pivotCaches>
    <pivotCache cacheId="4" r:id="rId9"/>
  </pivotCaches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3" i="8" l="1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" i="8"/>
  <c r="B34" i="8"/>
  <c r="C40" i="8"/>
  <c r="B40" i="8" s="1"/>
  <c r="C35" i="8"/>
  <c r="B35" i="8" s="1"/>
  <c r="C36" i="8"/>
  <c r="B36" i="8" s="1"/>
  <c r="C37" i="8"/>
  <c r="B37" i="8" s="1"/>
  <c r="C38" i="8"/>
  <c r="B38" i="8" s="1"/>
  <c r="C39" i="8"/>
  <c r="B39" i="8" s="1"/>
  <c r="C34" i="8"/>
  <c r="B63" i="8"/>
  <c r="B58" i="8"/>
  <c r="B59" i="8"/>
  <c r="B60" i="8"/>
  <c r="B61" i="8"/>
  <c r="B62" i="8"/>
  <c r="B57" i="8"/>
  <c r="V7" i="8"/>
  <c r="V13" i="8"/>
  <c r="V21" i="8"/>
  <c r="B42" i="8"/>
  <c r="U3" i="8" l="1"/>
  <c r="U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" i="8"/>
  <c r="S2" i="8"/>
  <c r="V2" i="8" s="1"/>
  <c r="S3" i="8"/>
  <c r="V3" i="8" s="1"/>
  <c r="S4" i="8"/>
  <c r="V4" i="8" s="1"/>
  <c r="S5" i="8"/>
  <c r="V5" i="8" s="1"/>
  <c r="S6" i="8"/>
  <c r="V6" i="8" s="1"/>
  <c r="S7" i="8"/>
  <c r="S8" i="8"/>
  <c r="V8" i="8" s="1"/>
  <c r="S9" i="8"/>
  <c r="V9" i="8" s="1"/>
  <c r="S10" i="8"/>
  <c r="V10" i="8" s="1"/>
  <c r="S11" i="8"/>
  <c r="V11" i="8" s="1"/>
  <c r="S12" i="8"/>
  <c r="V12" i="8" s="1"/>
  <c r="S13" i="8"/>
  <c r="S14" i="8"/>
  <c r="V14" i="8" s="1"/>
  <c r="S15" i="8"/>
  <c r="V15" i="8" s="1"/>
  <c r="S16" i="8"/>
  <c r="V16" i="8" s="1"/>
  <c r="S17" i="8"/>
  <c r="V17" i="8" s="1"/>
  <c r="S18" i="8"/>
  <c r="V18" i="8" s="1"/>
  <c r="S19" i="8"/>
  <c r="V19" i="8" s="1"/>
  <c r="S20" i="8"/>
  <c r="V20" i="8" s="1"/>
  <c r="S21" i="8"/>
  <c r="S22" i="8"/>
  <c r="V22" i="8" s="1"/>
  <c r="S23" i="8"/>
  <c r="V23" i="8" s="1"/>
  <c r="S24" i="8"/>
  <c r="V24" i="8" s="1"/>
  <c r="S25" i="8"/>
  <c r="V25" i="8" s="1"/>
  <c r="S26" i="8"/>
  <c r="V26" i="8" s="1"/>
  <c r="S27" i="8"/>
  <c r="V27" i="8" s="1"/>
  <c r="S28" i="8"/>
  <c r="V28" i="8" s="1"/>
  <c r="R7" i="8"/>
  <c r="R13" i="8"/>
  <c r="R2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" i="8"/>
  <c r="B50" i="8" s="1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" i="8"/>
  <c r="K3" i="8"/>
  <c r="L3" i="8" s="1"/>
  <c r="K4" i="8"/>
  <c r="L4" i="8" s="1"/>
  <c r="K5" i="8"/>
  <c r="L5" i="8" s="1"/>
  <c r="K6" i="8"/>
  <c r="L6" i="8" s="1"/>
  <c r="K7" i="8"/>
  <c r="L7" i="8" s="1"/>
  <c r="K8" i="8"/>
  <c r="L8" i="8" s="1"/>
  <c r="K9" i="8"/>
  <c r="L9" i="8" s="1"/>
  <c r="K10" i="8"/>
  <c r="L10" i="8" s="1"/>
  <c r="K11" i="8"/>
  <c r="L11" i="8" s="1"/>
  <c r="K12" i="8"/>
  <c r="L12" i="8" s="1"/>
  <c r="K13" i="8"/>
  <c r="L13" i="8" s="1"/>
  <c r="K14" i="8"/>
  <c r="L14" i="8" s="1"/>
  <c r="K15" i="8"/>
  <c r="L15" i="8" s="1"/>
  <c r="K16" i="8"/>
  <c r="L16" i="8" s="1"/>
  <c r="K17" i="8"/>
  <c r="L17" i="8" s="1"/>
  <c r="K18" i="8"/>
  <c r="L18" i="8" s="1"/>
  <c r="K19" i="8"/>
  <c r="L19" i="8" s="1"/>
  <c r="K20" i="8"/>
  <c r="L20" i="8" s="1"/>
  <c r="K21" i="8"/>
  <c r="L21" i="8" s="1"/>
  <c r="K22" i="8"/>
  <c r="L22" i="8" s="1"/>
  <c r="K23" i="8"/>
  <c r="L23" i="8" s="1"/>
  <c r="K24" i="8"/>
  <c r="L24" i="8" s="1"/>
  <c r="K25" i="8"/>
  <c r="L25" i="8" s="1"/>
  <c r="K26" i="8"/>
  <c r="L26" i="8" s="1"/>
  <c r="K27" i="8"/>
  <c r="L27" i="8" s="1"/>
  <c r="K28" i="8"/>
  <c r="L28" i="8" s="1"/>
  <c r="K2" i="8"/>
  <c r="L2" i="8" s="1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" i="8"/>
  <c r="B52" i="8" l="1"/>
  <c r="B51" i="8"/>
  <c r="T18" i="8"/>
  <c r="T17" i="8"/>
  <c r="T21" i="8"/>
  <c r="T13" i="8"/>
  <c r="T5" i="8"/>
  <c r="T25" i="8"/>
  <c r="T9" i="8"/>
  <c r="T16" i="8"/>
  <c r="T23" i="8"/>
  <c r="T28" i="8"/>
  <c r="T20" i="8"/>
  <c r="T12" i="8"/>
  <c r="T4" i="8"/>
  <c r="T26" i="8"/>
  <c r="T10" i="8"/>
  <c r="T24" i="8"/>
  <c r="T8" i="8"/>
  <c r="T15" i="8"/>
  <c r="T7" i="8"/>
  <c r="T22" i="8"/>
  <c r="T14" i="8"/>
  <c r="T6" i="8"/>
  <c r="T27" i="8"/>
  <c r="T19" i="8"/>
  <c r="T11" i="8"/>
  <c r="T3" i="8"/>
  <c r="T2" i="8"/>
  <c r="B46" i="8"/>
  <c r="B47" i="8"/>
  <c r="B45" i="8"/>
  <c r="R28" i="8"/>
  <c r="R20" i="8"/>
  <c r="R12" i="8"/>
  <c r="R4" i="8"/>
  <c r="R26" i="8"/>
  <c r="R18" i="8"/>
  <c r="R23" i="8"/>
  <c r="R22" i="8"/>
  <c r="R14" i="8"/>
  <c r="R27" i="8"/>
  <c r="R19" i="8"/>
  <c r="R11" i="8"/>
  <c r="R3" i="8"/>
  <c r="R10" i="8"/>
  <c r="R25" i="8"/>
  <c r="R17" i="8"/>
  <c r="R9" i="8"/>
  <c r="R24" i="8"/>
  <c r="R16" i="8"/>
  <c r="R8" i="8"/>
  <c r="R15" i="8"/>
  <c r="R6" i="8"/>
  <c r="R5" i="8"/>
  <c r="R2" i="8"/>
</calcChain>
</file>

<file path=xl/sharedStrings.xml><?xml version="1.0" encoding="utf-8"?>
<sst xmlns="http://schemas.openxmlformats.org/spreadsheetml/2006/main" count="593" uniqueCount="224">
  <si>
    <t>Property ID</t>
  </si>
  <si>
    <t>Property Name</t>
  </si>
  <si>
    <t>City</t>
  </si>
  <si>
    <t>Property Type</t>
  </si>
  <si>
    <t>Total Area (sqft)</t>
  </si>
  <si>
    <t>Lease Status</t>
  </si>
  <si>
    <t>Tenant Info</t>
  </si>
  <si>
    <t>Lease Start Date</t>
  </si>
  <si>
    <t>Lease End Date</t>
  </si>
  <si>
    <t>Monthly Rent (INR)</t>
  </si>
  <si>
    <t>R001</t>
  </si>
  <si>
    <t>Emerald Corporate Towers</t>
  </si>
  <si>
    <t xml:space="preserve"> Bengaluru</t>
  </si>
  <si>
    <t>Office</t>
  </si>
  <si>
    <t>Active</t>
  </si>
  <si>
    <t>Nimbus Cloud Pvt Ltd - IT Services</t>
  </si>
  <si>
    <t>2022-05-01</t>
  </si>
  <si>
    <t>2028-04-30</t>
  </si>
  <si>
    <t>R002</t>
  </si>
  <si>
    <t>Bengaluru</t>
  </si>
  <si>
    <t>R003</t>
  </si>
  <si>
    <t>Vista Business Bay</t>
  </si>
  <si>
    <t>hyderabad</t>
  </si>
  <si>
    <t>Quantum Analytics - IT Services</t>
  </si>
  <si>
    <t>2021-08-15</t>
  </si>
  <si>
    <t>2027-03-14</t>
  </si>
  <si>
    <t>R004</t>
  </si>
  <si>
    <t xml:space="preserve">Vista Business Bay </t>
  </si>
  <si>
    <t>Hyderabad</t>
  </si>
  <si>
    <t>office</t>
  </si>
  <si>
    <t>active</t>
  </si>
  <si>
    <t>R005</t>
  </si>
  <si>
    <t>Palm Grove Mall</t>
  </si>
  <si>
    <t>Chennai</t>
  </si>
  <si>
    <t>Retail</t>
  </si>
  <si>
    <t>Spice Route Foods - F&amp;B</t>
  </si>
  <si>
    <t>2023-03-10</t>
  </si>
  <si>
    <t>2029-03-09</t>
  </si>
  <si>
    <t>R006</t>
  </si>
  <si>
    <t>CHENNAI</t>
  </si>
  <si>
    <t>vacant</t>
  </si>
  <si>
    <t>R007</t>
  </si>
  <si>
    <t>Anchor Point Warehouse</t>
  </si>
  <si>
    <t>Mumbai</t>
  </si>
  <si>
    <t>Industrial</t>
  </si>
  <si>
    <t>FreightLine Cargo - Logistics</t>
  </si>
  <si>
    <t>2020-01-20</t>
  </si>
  <si>
    <t>2025-01-19</t>
  </si>
  <si>
    <t>R008</t>
  </si>
  <si>
    <t xml:space="preserve">Mumbai </t>
  </si>
  <si>
    <t>R009</t>
  </si>
  <si>
    <t>Silver Oak Tech Park</t>
  </si>
  <si>
    <t>Pune</t>
  </si>
  <si>
    <t>Beacon Software - IT Services</t>
  </si>
  <si>
    <t>2023-06-01</t>
  </si>
  <si>
    <t>2027-05-31</t>
  </si>
  <si>
    <t>R010</t>
  </si>
  <si>
    <t>pune</t>
  </si>
  <si>
    <t>R011</t>
  </si>
  <si>
    <t>Coral Street Plaza</t>
  </si>
  <si>
    <t>Urban Threads - Fashion Retail</t>
  </si>
  <si>
    <t>2024-01-05</t>
  </si>
  <si>
    <t>2028-01-04</t>
  </si>
  <si>
    <t>R012</t>
  </si>
  <si>
    <t>R013</t>
  </si>
  <si>
    <t>Northgate Logistics Hub</t>
  </si>
  <si>
    <t>Delhi</t>
  </si>
  <si>
    <t>SwiftCargo Movers - Logistics</t>
  </si>
  <si>
    <t>2019-11-11</t>
  </si>
  <si>
    <t>2024-11-10</t>
  </si>
  <si>
    <t>R014</t>
  </si>
  <si>
    <t xml:space="preserve"> Delhi</t>
  </si>
  <si>
    <t>industrial</t>
  </si>
  <si>
    <t>R015</t>
  </si>
  <si>
    <t>Zenith IT Campus</t>
  </si>
  <si>
    <t xml:space="preserve">hyderabad </t>
  </si>
  <si>
    <t>CoreStack Systems - IT Services</t>
  </si>
  <si>
    <t>2022-09-01</t>
  </si>
  <si>
    <t>2029-08-31</t>
  </si>
  <si>
    <t>R016</t>
  </si>
  <si>
    <t>R017</t>
  </si>
  <si>
    <t>Marina Bay Retail Court</t>
  </si>
  <si>
    <t>Coastal Bites - F&amp;B</t>
  </si>
  <si>
    <t>2024-04-18</t>
  </si>
  <si>
    <t>2027-01-17</t>
  </si>
  <si>
    <t>R018</t>
  </si>
  <si>
    <t>chennai</t>
  </si>
  <si>
    <t>retail</t>
  </si>
  <si>
    <t>R019</t>
  </si>
  <si>
    <t>Summit Business Center</t>
  </si>
  <si>
    <t>Alpine Consulting - Professional Services</t>
  </si>
  <si>
    <t>2022-02-14</t>
  </si>
  <si>
    <t>2026-11-13</t>
  </si>
  <si>
    <t>R020</t>
  </si>
  <si>
    <t>R021</t>
  </si>
  <si>
    <t>Blue Ridge Warehouse</t>
  </si>
  <si>
    <t>Continental Freight - Logistics</t>
  </si>
  <si>
    <t>2021-07-07</t>
  </si>
  <si>
    <t>2028-07-06</t>
  </si>
  <si>
    <t>R022</t>
  </si>
  <si>
    <t>Ashoka Trade Center</t>
  </si>
  <si>
    <t>Noida</t>
  </si>
  <si>
    <t>Pioneer Traders - Professional Services</t>
  </si>
  <si>
    <t>2023-10-01</t>
  </si>
  <si>
    <t>2027-04-30</t>
  </si>
  <si>
    <t>R023</t>
  </si>
  <si>
    <t>Lotus Corporate Park</t>
  </si>
  <si>
    <t>Vertex BioLabs - Pharma</t>
  </si>
  <si>
    <t>2020-12-01</t>
  </si>
  <si>
    <t>2026-10-30</t>
  </si>
  <si>
    <t>R024</t>
  </si>
  <si>
    <t>R025</t>
  </si>
  <si>
    <t>Golden Harbor Mall</t>
  </si>
  <si>
    <t>Bay Fashion House - Fashion Retail</t>
  </si>
  <si>
    <t>2023-08-20</t>
  </si>
  <si>
    <t>2029-08-19</t>
  </si>
  <si>
    <t>R026</t>
  </si>
  <si>
    <t>Falcon Industrial Estate</t>
  </si>
  <si>
    <t>TransGlobal Logistics - Logistics</t>
  </si>
  <si>
    <t>2022-03-15</t>
  </si>
  <si>
    <t>2025-10-14</t>
  </si>
  <si>
    <t>R027</t>
  </si>
  <si>
    <t xml:space="preserve">Chennai </t>
  </si>
  <si>
    <t>State</t>
  </si>
  <si>
    <t>Karnataka</t>
  </si>
  <si>
    <t>Telangana</t>
  </si>
  <si>
    <t>Tamil Nadu</t>
  </si>
  <si>
    <t>Maharashtra</t>
  </si>
  <si>
    <t>Delhi NCR</t>
  </si>
  <si>
    <t>Region</t>
  </si>
  <si>
    <t>South</t>
  </si>
  <si>
    <t>West</t>
  </si>
  <si>
    <t>North</t>
  </si>
  <si>
    <t>Monthly Rent From (INR)</t>
  </si>
  <si>
    <t>Band</t>
  </si>
  <si>
    <t>Low</t>
  </si>
  <si>
    <t>Medium</t>
  </si>
  <si>
    <t>High</t>
  </si>
  <si>
    <t>Premium</t>
  </si>
  <si>
    <t>1</t>
  </si>
  <si>
    <t>2</t>
  </si>
  <si>
    <t>Flag exact duplicate lease records (same Property Name + City + Lease Start Date).</t>
  </si>
  <si>
    <t>3</t>
  </si>
  <si>
    <t>For each property, pull in its State by matching the cleaned City against the 'City-State Lookup' sheet.</t>
  </si>
  <si>
    <t>4</t>
  </si>
  <si>
    <t>5</t>
  </si>
  <si>
    <t>For any property whose City has no match in the lookup table, show 'Not Mapped' instead of an error.</t>
  </si>
  <si>
    <t>6</t>
  </si>
  <si>
    <t>Assign each active lease a Rent Band (Low/Medium/High/Premium) based on the 'Rent Band Table' thresholds.</t>
  </si>
  <si>
    <t>7</t>
  </si>
  <si>
    <t>For each active lease, retrieve the benchmark rent per sqft for its Property Type + City combination from 'Benchmark Rate Card' (two conditions, one lookup).</t>
  </si>
  <si>
    <t>8</t>
  </si>
  <si>
    <t>9</t>
  </si>
  <si>
    <t>Split the 'Tenant Info' column into two separate columns: Tenant Name and Tenant Industry.</t>
  </si>
  <si>
    <t>10</t>
  </si>
  <si>
    <t>Calculate the remaining lease term in months as of today, for active leases only.</t>
  </si>
  <si>
    <t>11</t>
  </si>
  <si>
    <t>Flag any active lease with fewer than 12 months remaining as 'Renewal Watch'.</t>
  </si>
  <si>
    <t>12</t>
  </si>
  <si>
    <t>13</t>
  </si>
  <si>
    <t>Rank all active leases by Monthly Rent, highest first, without sorting the underlying data.</t>
  </si>
  <si>
    <t>14</t>
  </si>
  <si>
    <t>Count how many distinct tenant industries appear across the portfolio.</t>
  </si>
  <si>
    <t>15</t>
  </si>
  <si>
    <t>Calculate total active Monthly Rent per Region.</t>
  </si>
  <si>
    <t>16</t>
  </si>
  <si>
    <t>Calculate the average rent per sqft for active leases, split by Property Type.</t>
  </si>
  <si>
    <t>17</t>
  </si>
  <si>
    <t>Build a single formula that returns 'Urgent', 'Watch', or 'OK' for each active lease based on months remaining (use your own thresholds and justify them in a comment).</t>
  </si>
  <si>
    <t>18</t>
  </si>
  <si>
    <t>Identify which City has the highest total active area (sqft) across all its properties.</t>
  </si>
  <si>
    <t>19</t>
  </si>
  <si>
    <t>Build a Pivot Table: Region (filter) x Property Type (rows) x Average Rent per sqft (values).</t>
  </si>
  <si>
    <t>20</t>
  </si>
  <si>
    <t>Apply conditional formatting: highlight any lease flagged 'Renewal Watch' in task 11.</t>
  </si>
  <si>
    <t>Rent Band</t>
  </si>
  <si>
    <t>Tenant Name</t>
  </si>
  <si>
    <t>Tenant Industry</t>
  </si>
  <si>
    <t>Months Remaining</t>
  </si>
  <si>
    <t>Priority</t>
  </si>
  <si>
    <t>Clean City and Property Type into new columns - consistent spacing and capitalisation throughout.</t>
  </si>
  <si>
    <t>Duplicate Records</t>
  </si>
  <si>
    <t>Vacant</t>
  </si>
  <si>
    <t>Benchmark Rent</t>
  </si>
  <si>
    <t>Calculate each property's actual rent per sqft, and compare it to the benchmark - flag as 'Above Benchmark' or 'At/Below Benchmark'.</t>
  </si>
  <si>
    <t xml:space="preserve">Nimbus Cloud Pvt Ltd </t>
  </si>
  <si>
    <t xml:space="preserve"> IT Services</t>
  </si>
  <si>
    <t xml:space="preserve">Quantum Analytics </t>
  </si>
  <si>
    <t xml:space="preserve">Spice Route Foods </t>
  </si>
  <si>
    <t xml:space="preserve"> F&amp;B</t>
  </si>
  <si>
    <t xml:space="preserve">FreightLine Cargo </t>
  </si>
  <si>
    <t xml:space="preserve"> Logistics</t>
  </si>
  <si>
    <t xml:space="preserve">Beacon Software </t>
  </si>
  <si>
    <t xml:space="preserve">Urban Threads </t>
  </si>
  <si>
    <t xml:space="preserve"> Fashion Retail</t>
  </si>
  <si>
    <t xml:space="preserve">SwiftCargo Movers </t>
  </si>
  <si>
    <t xml:space="preserve">CoreStack Systems </t>
  </si>
  <si>
    <t xml:space="preserve">Coastal Bites </t>
  </si>
  <si>
    <t xml:space="preserve">Alpine Consulting </t>
  </si>
  <si>
    <t xml:space="preserve"> Professional Services</t>
  </si>
  <si>
    <t xml:space="preserve">Continental Freight </t>
  </si>
  <si>
    <t xml:space="preserve">Pioneer Traders </t>
  </si>
  <si>
    <t xml:space="preserve">Vertex BioLabs </t>
  </si>
  <si>
    <t xml:space="preserve"> Pharma</t>
  </si>
  <si>
    <t xml:space="preserve">Bay Fashion House </t>
  </si>
  <si>
    <t xml:space="preserve">TransGlobal Logistics </t>
  </si>
  <si>
    <t>Actual Rent per sqft</t>
  </si>
  <si>
    <t>Benchmark flag</t>
  </si>
  <si>
    <t>Find the single largest active lease (by Monthly Rent) in each City - show the Property Name next to each City, not just the rent amount.</t>
  </si>
  <si>
    <t>Renewal Watch</t>
  </si>
  <si>
    <t>Rent</t>
  </si>
  <si>
    <t>Rank Monthly Rent</t>
  </si>
  <si>
    <t xml:space="preserve"> distinct tenant industries </t>
  </si>
  <si>
    <t>Total Rent by Region</t>
  </si>
  <si>
    <t>Average Rent by Property Type</t>
  </si>
  <si>
    <t>City with highest total active area (sqft) across all its properties.</t>
  </si>
  <si>
    <t>Total area</t>
  </si>
  <si>
    <t>(All)</t>
  </si>
  <si>
    <t>Grand Total</t>
  </si>
  <si>
    <t>Average of Actual Rent per sqft</t>
  </si>
  <si>
    <t>Advanced Excel Practice - Assignment 2</t>
  </si>
  <si>
    <t>For each property, pull in its Region - City to State to Region - using both lookup sheets together.</t>
  </si>
  <si>
    <t>Largest active montly rent in each city and its property name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</si>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</sst>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</font>
    <font>
      <b/>
      <sz val="11"/>
      <color rgb="FFFFFFFF"/>
      <name val="Times New Roman"/>
      <charset val="1"/>
    </font>
    <font>
      <sz val="11"/>
      <name val="Times New Roman"/>
      <charset val="1"/>
    </font>
    <font>
      <i/>
      <sz val="9"/>
      <color rgb="FF808080"/>
      <name val="Times New Roman"/>
      <charset val="1"/>
    </font>
    <font>
      <b/>
      <sz val="14"/>
      <color rgb="FF1F3864"/>
      <name val="Times New Roman"/>
      <charset val="1"/>
    </font>
    <font>
      <b/>
      <sz val="11"/>
      <name val="Times New Roman"/>
      <charset val="1"/>
    </font>
    <font>
      <b/>
      <sz val="11"/>
      <color rgb="FFFFFFFF"/>
      <name val="Times New Roman"/>
      <family val="1"/>
    </font>
    <font>
      <sz val="11"/>
      <name val="Times New Roman"/>
      <family val="1"/>
    </font>
    <font>
      <i/>
      <sz val="10"/>
      <color rgb="FF808080"/>
      <name val="Times New Roman"/>
      <family val="1"/>
    </font>
    <font>
      <b/>
      <sz val="11"/>
      <name val="Times New Roman"/>
      <family val="1"/>
    </font>
    <font>
      <b/>
      <sz val="11"/>
      <color theme="1"/>
      <name val="Calibri"/>
      <family val="2"/>
      <charset val="1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1F3864"/>
      <name val="Times New Roman"/>
      <family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0" borderId="0" xfId="0" applyFont="1"/>
    <xf numFmtId="0" fontId="1" fillId="2" borderId="0" xfId="0" applyFont="1" applyFill="1" applyAlignment="1">
      <alignment horizontal="center" wrapText="1"/>
    </xf>
    <xf numFmtId="0" fontId="2" fillId="0" borderId="0" xfId="0" applyFont="1"/>
    <xf numFmtId="0" fontId="3" fillId="0" borderId="0" xfId="0" applyFont="1"/>
    <xf numFmtId="0" fontId="5" fillId="0" borderId="0" xfId="0" applyFont="1"/>
    <xf numFmtId="0" fontId="2" fillId="0" borderId="0" xfId="0" applyFont="1" applyAlignment="1">
      <alignment vertical="top" wrapText="1"/>
    </xf>
    <xf numFmtId="0" fontId="6" fillId="2" borderId="0" xfId="0" applyFont="1" applyFill="1" applyAlignment="1">
      <alignment horizontal="center" wrapText="1"/>
    </xf>
    <xf numFmtId="0" fontId="7" fillId="0" borderId="0" xfId="0" applyFont="1"/>
    <xf numFmtId="0" fontId="0" fillId="0" borderId="0" xfId="0" applyFont="1"/>
    <xf numFmtId="0" fontId="7" fillId="0" borderId="0" xfId="0" applyFont="1" applyAlignment="1">
      <alignment vertical="top" wrapText="1"/>
    </xf>
    <xf numFmtId="0" fontId="8" fillId="0" borderId="0" xfId="0" applyFont="1"/>
    <xf numFmtId="14" fontId="1" fillId="2" borderId="0" xfId="0" applyNumberFormat="1" applyFont="1" applyFill="1" applyAlignment="1">
      <alignment horizontal="center" wrapText="1"/>
    </xf>
    <xf numFmtId="14" fontId="2" fillId="0" borderId="0" xfId="0" applyNumberFormat="1" applyFont="1"/>
    <xf numFmtId="14" fontId="0" fillId="0" borderId="0" xfId="0" applyNumberFormat="1"/>
    <xf numFmtId="0" fontId="1" fillId="2" borderId="0" xfId="0" applyNumberFormat="1" applyFont="1" applyFill="1" applyAlignment="1">
      <alignment horizontal="center" wrapText="1"/>
    </xf>
    <xf numFmtId="0" fontId="2" fillId="0" borderId="0" xfId="0" applyNumberFormat="1" applyFont="1"/>
    <xf numFmtId="0" fontId="0" fillId="0" borderId="0" xfId="0" applyNumberFormat="1"/>
    <xf numFmtId="0" fontId="6" fillId="2" borderId="0" xfId="0" applyNumberFormat="1" applyFont="1" applyFill="1" applyAlignment="1">
      <alignment horizontal="center" wrapText="1"/>
    </xf>
    <xf numFmtId="0" fontId="10" fillId="0" borderId="0" xfId="0" applyFont="1"/>
    <xf numFmtId="14" fontId="10" fillId="0" borderId="0" xfId="0" applyNumberFormat="1" applyFont="1"/>
    <xf numFmtId="0" fontId="10" fillId="0" borderId="0" xfId="0" applyNumberFormat="1" applyFont="1"/>
    <xf numFmtId="0" fontId="11" fillId="0" borderId="0" xfId="0" applyFont="1"/>
    <xf numFmtId="14" fontId="11" fillId="0" borderId="0" xfId="0" applyNumberFormat="1" applyFont="1"/>
    <xf numFmtId="0" fontId="11" fillId="0" borderId="0" xfId="0" applyNumberFormat="1" applyFont="1"/>
    <xf numFmtId="0" fontId="9" fillId="0" borderId="0" xfId="0" applyFont="1"/>
    <xf numFmtId="0" fontId="1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1" fillId="0" borderId="0" xfId="0" pivotButton="1" applyFont="1"/>
    <xf numFmtId="0" fontId="13" fillId="0" borderId="0" xfId="0" applyFont="1"/>
    <xf numFmtId="0" fontId="14" fillId="0" borderId="0" xfId="0" applyFont="1"/>
    <xf numFmtId="0" fontId="14" fillId="0" borderId="0" xfId="0" applyFont="1" applyAlignment="1">
      <alignment vertical="top" wrapText="1"/>
    </xf>
    <xf numFmtId="0" fontId="15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2</xdr:col>
      <xdr:colOff>292100</xdr:colOff>
      <xdr:row>3</xdr:row>
      <xdr:rowOff>292100</xdr:rowOff>
    </xdr:to>
    <xdr:pic>
      <xdr:nvPicPr>
        <xdr:cNvPr id="5" name="Graphic 4" descr="Checkmark">
          <a:extLst>
            <a:ext uri="{FF2B5EF4-FFF2-40B4-BE49-F238E27FC236}">
              <a16:creationId xmlns:a16="http://schemas.microsoft.com/office/drawing/2014/main" id="{D2B3F737-511B-41F5-9B58-40DE1BAE3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401719" y="972344"/>
          <a:ext cx="292100" cy="2921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292100</xdr:colOff>
      <xdr:row>2</xdr:row>
      <xdr:rowOff>292100</xdr:rowOff>
    </xdr:to>
    <xdr:pic>
      <xdr:nvPicPr>
        <xdr:cNvPr id="6" name="Graphic 5" descr="Checkmark">
          <a:extLst>
            <a:ext uri="{FF2B5EF4-FFF2-40B4-BE49-F238E27FC236}">
              <a16:creationId xmlns:a16="http://schemas.microsoft.com/office/drawing/2014/main" id="{47F33B8C-64E2-436D-A419-6B08F735D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401719" y="590352"/>
          <a:ext cx="292100" cy="2921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292100</xdr:colOff>
      <xdr:row>4</xdr:row>
      <xdr:rowOff>292100</xdr:rowOff>
    </xdr:to>
    <xdr:pic>
      <xdr:nvPicPr>
        <xdr:cNvPr id="7" name="Graphic 6" descr="Checkmark">
          <a:extLst>
            <a:ext uri="{FF2B5EF4-FFF2-40B4-BE49-F238E27FC236}">
              <a16:creationId xmlns:a16="http://schemas.microsoft.com/office/drawing/2014/main" id="{65B1EC7A-7FC0-44CD-8FAD-4EA72C816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402534" y="1352637"/>
          <a:ext cx="292100" cy="2921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292100</xdr:colOff>
      <xdr:row>5</xdr:row>
      <xdr:rowOff>292100</xdr:rowOff>
    </xdr:to>
    <xdr:pic>
      <xdr:nvPicPr>
        <xdr:cNvPr id="8" name="Graphic 7" descr="Checkmark">
          <a:extLst>
            <a:ext uri="{FF2B5EF4-FFF2-40B4-BE49-F238E27FC236}">
              <a16:creationId xmlns:a16="http://schemas.microsoft.com/office/drawing/2014/main" id="{D7E1006F-ABA5-4F2E-AEAB-30FB54E8A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402534" y="1735377"/>
          <a:ext cx="292100" cy="2921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</xdr:row>
      <xdr:rowOff>382739</xdr:rowOff>
    </xdr:from>
    <xdr:to>
      <xdr:col>2</xdr:col>
      <xdr:colOff>292100</xdr:colOff>
      <xdr:row>6</xdr:row>
      <xdr:rowOff>292100</xdr:rowOff>
    </xdr:to>
    <xdr:pic>
      <xdr:nvPicPr>
        <xdr:cNvPr id="9" name="Graphic 8" descr="Checkmark">
          <a:extLst>
            <a:ext uri="{FF2B5EF4-FFF2-40B4-BE49-F238E27FC236}">
              <a16:creationId xmlns:a16="http://schemas.microsoft.com/office/drawing/2014/main" id="{CB15A400-28F8-4F80-BAA0-9D2F2185D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402534" y="2118116"/>
          <a:ext cx="292100" cy="2921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292100</xdr:colOff>
      <xdr:row>8</xdr:row>
      <xdr:rowOff>292100</xdr:rowOff>
    </xdr:to>
    <xdr:pic>
      <xdr:nvPicPr>
        <xdr:cNvPr id="10" name="Graphic 9" descr="Checkmark">
          <a:extLst>
            <a:ext uri="{FF2B5EF4-FFF2-40B4-BE49-F238E27FC236}">
              <a16:creationId xmlns:a16="http://schemas.microsoft.com/office/drawing/2014/main" id="{6F647612-A6F4-4C64-82A1-54BFA0694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402534" y="2883596"/>
          <a:ext cx="292100" cy="2921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292100</xdr:colOff>
      <xdr:row>10</xdr:row>
      <xdr:rowOff>292100</xdr:rowOff>
    </xdr:to>
    <xdr:pic>
      <xdr:nvPicPr>
        <xdr:cNvPr id="11" name="Graphic 10" descr="Checkmark">
          <a:extLst>
            <a:ext uri="{FF2B5EF4-FFF2-40B4-BE49-F238E27FC236}">
              <a16:creationId xmlns:a16="http://schemas.microsoft.com/office/drawing/2014/main" id="{58D55173-475C-4145-8B54-E077C0B26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402534" y="3649075"/>
          <a:ext cx="292100" cy="2921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292100</xdr:colOff>
      <xdr:row>9</xdr:row>
      <xdr:rowOff>292100</xdr:rowOff>
    </xdr:to>
    <xdr:pic>
      <xdr:nvPicPr>
        <xdr:cNvPr id="12" name="Graphic 11" descr="Checkmark">
          <a:extLst>
            <a:ext uri="{FF2B5EF4-FFF2-40B4-BE49-F238E27FC236}">
              <a16:creationId xmlns:a16="http://schemas.microsoft.com/office/drawing/2014/main" id="{76A6AC44-AE70-4ADF-A8A0-C971A33A2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402534" y="3266336"/>
          <a:ext cx="292100" cy="2921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292100</xdr:colOff>
      <xdr:row>11</xdr:row>
      <xdr:rowOff>292100</xdr:rowOff>
    </xdr:to>
    <xdr:pic>
      <xdr:nvPicPr>
        <xdr:cNvPr id="13" name="Graphic 12" descr="Checkmark">
          <a:extLst>
            <a:ext uri="{FF2B5EF4-FFF2-40B4-BE49-F238E27FC236}">
              <a16:creationId xmlns:a16="http://schemas.microsoft.com/office/drawing/2014/main" id="{5B39FA80-515C-49E4-B0AD-257ADA243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402534" y="4031815"/>
          <a:ext cx="292100" cy="2921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292100</xdr:colOff>
      <xdr:row>12</xdr:row>
      <xdr:rowOff>292100</xdr:rowOff>
    </xdr:to>
    <xdr:pic>
      <xdr:nvPicPr>
        <xdr:cNvPr id="14" name="Graphic 13" descr="Checkmark">
          <a:extLst>
            <a:ext uri="{FF2B5EF4-FFF2-40B4-BE49-F238E27FC236}">
              <a16:creationId xmlns:a16="http://schemas.microsoft.com/office/drawing/2014/main" id="{EE1CB226-418C-4751-B56F-BE9068C6E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402534" y="4414555"/>
          <a:ext cx="292100" cy="2921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292100</xdr:colOff>
      <xdr:row>14</xdr:row>
      <xdr:rowOff>292100</xdr:rowOff>
    </xdr:to>
    <xdr:pic>
      <xdr:nvPicPr>
        <xdr:cNvPr id="15" name="Graphic 14" descr="Checkmark">
          <a:extLst>
            <a:ext uri="{FF2B5EF4-FFF2-40B4-BE49-F238E27FC236}">
              <a16:creationId xmlns:a16="http://schemas.microsoft.com/office/drawing/2014/main" id="{BC349F03-1108-4370-A2EB-924842BF7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406640" y="5161280"/>
          <a:ext cx="292100" cy="2921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292100</xdr:colOff>
      <xdr:row>15</xdr:row>
      <xdr:rowOff>292100</xdr:rowOff>
    </xdr:to>
    <xdr:pic>
      <xdr:nvPicPr>
        <xdr:cNvPr id="16" name="Graphic 15" descr="Checkmark">
          <a:extLst>
            <a:ext uri="{FF2B5EF4-FFF2-40B4-BE49-F238E27FC236}">
              <a16:creationId xmlns:a16="http://schemas.microsoft.com/office/drawing/2014/main" id="{CD825114-8860-4170-8E9C-6A1B29880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406640" y="5542280"/>
          <a:ext cx="292100" cy="2921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292100</xdr:colOff>
      <xdr:row>16</xdr:row>
      <xdr:rowOff>292100</xdr:rowOff>
    </xdr:to>
    <xdr:pic>
      <xdr:nvPicPr>
        <xdr:cNvPr id="17" name="Graphic 16" descr="Checkmark">
          <a:extLst>
            <a:ext uri="{FF2B5EF4-FFF2-40B4-BE49-F238E27FC236}">
              <a16:creationId xmlns:a16="http://schemas.microsoft.com/office/drawing/2014/main" id="{74068BAA-D109-4336-A3FB-265E4A44C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406640" y="5923280"/>
          <a:ext cx="292100" cy="2921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292100</xdr:colOff>
      <xdr:row>17</xdr:row>
      <xdr:rowOff>292100</xdr:rowOff>
    </xdr:to>
    <xdr:pic>
      <xdr:nvPicPr>
        <xdr:cNvPr id="18" name="Graphic 17" descr="Checkmark">
          <a:extLst>
            <a:ext uri="{FF2B5EF4-FFF2-40B4-BE49-F238E27FC236}">
              <a16:creationId xmlns:a16="http://schemas.microsoft.com/office/drawing/2014/main" id="{BE3D63C6-F046-42F1-957C-ED7B5FE14E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406640" y="6304280"/>
          <a:ext cx="292100" cy="292100"/>
        </a:xfrm>
        <a:prstGeom prst="rect">
          <a:avLst/>
        </a:prstGeom>
      </xdr:spPr>
    </xdr:pic>
    <xdr:clientData/>
  </xdr:twoCellAnchor>
  <xdr:oneCellAnchor>
    <xdr:from>
      <xdr:col>2</xdr:col>
      <xdr:colOff>0</xdr:colOff>
      <xdr:row>18</xdr:row>
      <xdr:rowOff>0</xdr:rowOff>
    </xdr:from>
    <xdr:ext cx="292100" cy="292100"/>
    <xdr:pic>
      <xdr:nvPicPr>
        <xdr:cNvPr id="19" name="Graphic 18" descr="Checkmark">
          <a:extLst>
            <a:ext uri="{FF2B5EF4-FFF2-40B4-BE49-F238E27FC236}">
              <a16:creationId xmlns:a16="http://schemas.microsoft.com/office/drawing/2014/main" id="{F45F4774-72C1-4FA6-823C-B82EB8E3E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406640" y="6304280"/>
          <a:ext cx="292100" cy="2921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</xdr:row>
      <xdr:rowOff>0</xdr:rowOff>
    </xdr:from>
    <xdr:ext cx="292100" cy="292100"/>
    <xdr:pic>
      <xdr:nvPicPr>
        <xdr:cNvPr id="20" name="Graphic 19" descr="Checkmark">
          <a:extLst>
            <a:ext uri="{FF2B5EF4-FFF2-40B4-BE49-F238E27FC236}">
              <a16:creationId xmlns:a16="http://schemas.microsoft.com/office/drawing/2014/main" id="{91B4D137-F5E9-4547-A85F-B1FD87962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406640" y="7066280"/>
          <a:ext cx="292100" cy="2921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</xdr:row>
      <xdr:rowOff>0</xdr:rowOff>
    </xdr:from>
    <xdr:ext cx="292100" cy="292100"/>
    <xdr:pic>
      <xdr:nvPicPr>
        <xdr:cNvPr id="21" name="Graphic 20" descr="Checkmark">
          <a:extLst>
            <a:ext uri="{FF2B5EF4-FFF2-40B4-BE49-F238E27FC236}">
              <a16:creationId xmlns:a16="http://schemas.microsoft.com/office/drawing/2014/main" id="{B166775F-ADCD-4631-8A33-BF0427C4D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406640" y="7066280"/>
          <a:ext cx="292100" cy="2921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</xdr:row>
      <xdr:rowOff>0</xdr:rowOff>
    </xdr:from>
    <xdr:ext cx="292100" cy="292100"/>
    <xdr:pic>
      <xdr:nvPicPr>
        <xdr:cNvPr id="22" name="Graphic 21" descr="Checkmark">
          <a:extLst>
            <a:ext uri="{FF2B5EF4-FFF2-40B4-BE49-F238E27FC236}">
              <a16:creationId xmlns:a16="http://schemas.microsoft.com/office/drawing/2014/main" id="{B4C05BB1-F4EA-4019-A757-AA981BA19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406640" y="7828280"/>
          <a:ext cx="292100" cy="292100"/>
        </a:xfrm>
        <a:prstGeom prst="rect">
          <a:avLst/>
        </a:prstGeom>
      </xdr:spPr>
    </xdr:pic>
    <xdr:clientData/>
  </xdr:oneCellAnchor>
  <xdr:twoCellAnchor editAs="oneCell">
    <xdr:from>
      <xdr:col>2</xdr:col>
      <xdr:colOff>0</xdr:colOff>
      <xdr:row>13</xdr:row>
      <xdr:rowOff>0</xdr:rowOff>
    </xdr:from>
    <xdr:to>
      <xdr:col>2</xdr:col>
      <xdr:colOff>292100</xdr:colOff>
      <xdr:row>13</xdr:row>
      <xdr:rowOff>292100</xdr:rowOff>
    </xdr:to>
    <xdr:pic>
      <xdr:nvPicPr>
        <xdr:cNvPr id="23" name="Graphic 22" descr="Checkmark">
          <a:extLst>
            <a:ext uri="{FF2B5EF4-FFF2-40B4-BE49-F238E27FC236}">
              <a16:creationId xmlns:a16="http://schemas.microsoft.com/office/drawing/2014/main" id="{0090C59A-96B3-43B8-864A-931FA3510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406640" y="4780280"/>
          <a:ext cx="292100" cy="2921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292100</xdr:colOff>
      <xdr:row>7</xdr:row>
      <xdr:rowOff>290361</xdr:rowOff>
    </xdr:to>
    <xdr:pic>
      <xdr:nvPicPr>
        <xdr:cNvPr id="24" name="Graphic 23" descr="Checkmark">
          <a:extLst>
            <a:ext uri="{FF2B5EF4-FFF2-40B4-BE49-F238E27FC236}">
              <a16:creationId xmlns:a16="http://schemas.microsoft.com/office/drawing/2014/main" id="{3CF79AE3-11CD-4667-BEA5-AFCB10082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406640" y="2494280"/>
          <a:ext cx="292100" cy="290361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itha Ravalkol" refreshedDate="46288.996041782404" createdVersion="8" refreshedVersion="8" minRefreshableVersion="3" recordCount="27" xr:uid="{F033F8FB-8DDD-4BF1-B170-FF1B14235C06}">
  <cacheSource type="worksheet">
    <worksheetSource ref="A1:V28" sheet="Portfolio Data (Modified)"/>
  </cacheSource>
  <cacheFields count="22">
    <cacheField name="Property ID" numFmtId="0">
      <sharedItems/>
    </cacheField>
    <cacheField name="Property Name" numFmtId="0">
      <sharedItems/>
    </cacheField>
    <cacheField name="City" numFmtId="0">
      <sharedItems/>
    </cacheField>
    <cacheField name="Property Type" numFmtId="0">
      <sharedItems count="3">
        <s v="Office"/>
        <s v="Retail"/>
        <s v="Industrial"/>
      </sharedItems>
    </cacheField>
    <cacheField name="Total Area (sqft)" numFmtId="0">
      <sharedItems containsSemiMixedTypes="0" containsString="0" containsNumber="1" containsInteger="1" minValue="19500" maxValue="145000"/>
    </cacheField>
    <cacheField name="Lease Status" numFmtId="0">
      <sharedItems/>
    </cacheField>
    <cacheField name="Lease Start Date" numFmtId="14">
      <sharedItems containsBlank="1"/>
    </cacheField>
    <cacheField name="Lease End Date" numFmtId="14">
      <sharedItems containsBlank="1"/>
    </cacheField>
    <cacheField name="Monthly Rent (INR)" numFmtId="0">
      <sharedItems containsString="0" containsBlank="1" containsNumber="1" containsInteger="1" minValue="870000" maxValue="3550000"/>
    </cacheField>
    <cacheField name="Duplicate Records" numFmtId="0">
      <sharedItems containsSemiMixedTypes="0" containsString="0" containsNumber="1" containsInteger="1" minValue="0" maxValue="2"/>
    </cacheField>
    <cacheField name="State" numFmtId="0">
      <sharedItems/>
    </cacheField>
    <cacheField name="Region" numFmtId="0">
      <sharedItems count="4">
        <s v="South"/>
        <s v="West"/>
        <s v="North"/>
        <s v="Not Mapped"/>
      </sharedItems>
    </cacheField>
    <cacheField name="Rent Band" numFmtId="0">
      <sharedItems containsNonDate="0" containsString="0" containsBlank="1"/>
    </cacheField>
    <cacheField name="Benchmark Rent" numFmtId="0">
      <sharedItems containsMixedTypes="1" containsNumber="1" containsInteger="1" minValue="23" maxValue="58"/>
    </cacheField>
    <cacheField name="Tenant Name" numFmtId="0">
      <sharedItems containsBlank="1"/>
    </cacheField>
    <cacheField name="Tenant Industry" numFmtId="0">
      <sharedItems containsBlank="1"/>
    </cacheField>
    <cacheField name="Actual Rent per sqft" numFmtId="0">
      <sharedItems containsMixedTypes="1" containsNumber="1" minValue="24.48" maxValue="44.62"/>
    </cacheField>
    <cacheField name="Benchmark flag" numFmtId="0">
      <sharedItems/>
    </cacheField>
    <cacheField name="Months Remaining" numFmtId="0">
      <sharedItems containsMixedTypes="1" containsNumber="1" containsInteger="1" minValue="1" maxValue="35"/>
    </cacheField>
    <cacheField name="Renewal Watch" numFmtId="0">
      <sharedItems/>
    </cacheField>
    <cacheField name="Rank Monthly Rent" numFmtId="0">
      <sharedItems containsMixedTypes="1" containsNumber="1" containsInteger="1" minValue="1" maxValue="23"/>
    </cacheField>
    <cacheField name="Prior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s v="R001"/>
    <s v="Emerald Corporate Towers"/>
    <s v="Bengaluru"/>
    <x v="0"/>
    <n v="52000"/>
    <s v="Active"/>
    <s v="2022-05-01"/>
    <s v="2028-04-30"/>
    <n v="2150000"/>
    <n v="2"/>
    <s v="Karnataka"/>
    <x v="0"/>
    <m/>
    <n v="42"/>
    <s v="Nimbus Cloud Pvt Ltd "/>
    <s v=" IT Services"/>
    <n v="41.35"/>
    <s v="At/Below Benchmark"/>
    <n v="19"/>
    <s v=""/>
    <n v="14"/>
    <s v="OK"/>
  </r>
  <r>
    <s v="R002"/>
    <s v="Emerald Corporate Towers"/>
    <s v="Bengaluru"/>
    <x v="0"/>
    <n v="52000"/>
    <s v="Active"/>
    <s v="2022-05-01"/>
    <s v="2028-04-30"/>
    <n v="2150000"/>
    <n v="2"/>
    <s v="Karnataka"/>
    <x v="0"/>
    <m/>
    <n v="42"/>
    <s v="Nimbus Cloud Pvt Ltd "/>
    <s v=" IT Services"/>
    <n v="41.35"/>
    <s v="At/Below Benchmark"/>
    <n v="19"/>
    <s v=""/>
    <n v="14"/>
    <s v="OK"/>
  </r>
  <r>
    <s v="R003"/>
    <s v="Vista Business Bay"/>
    <s v="Hyderabad"/>
    <x v="0"/>
    <n v="68000"/>
    <s v="Active"/>
    <s v="2021-08-15"/>
    <s v="2027-03-14"/>
    <n v="2680000"/>
    <n v="1"/>
    <s v="Telangana"/>
    <x v="0"/>
    <m/>
    <n v="39"/>
    <s v="Quantum Analytics "/>
    <s v=" IT Services"/>
    <n v="39.409999999999997"/>
    <s v="Above Benchmark"/>
    <n v="5"/>
    <s v="Renewal Watch"/>
    <n v="7"/>
    <s v="Watch"/>
  </r>
  <r>
    <s v="R004"/>
    <s v="Vista Business Bay "/>
    <s v="Hyderabad"/>
    <x v="0"/>
    <n v="68000"/>
    <s v="Active"/>
    <s v="2021-08-15"/>
    <s v="2027-03-14"/>
    <n v="2680000"/>
    <n v="1"/>
    <s v="Telangana"/>
    <x v="0"/>
    <m/>
    <n v="39"/>
    <s v="Quantum Analytics "/>
    <s v=" IT Services"/>
    <n v="39.409999999999997"/>
    <s v="Above Benchmark"/>
    <n v="5"/>
    <s v="Renewal Watch"/>
    <n v="7"/>
    <s v="Watch"/>
  </r>
  <r>
    <s v="R005"/>
    <s v="Palm Grove Mall"/>
    <s v="Chennai"/>
    <x v="1"/>
    <n v="31000"/>
    <s v="Active"/>
    <s v="2023-03-10"/>
    <s v="2029-03-09"/>
    <n v="1320000"/>
    <n v="1"/>
    <s v="Tamil Nadu"/>
    <x v="0"/>
    <m/>
    <n v="47"/>
    <s v="Spice Route Foods "/>
    <s v=" F&amp;B"/>
    <n v="42.58"/>
    <s v="At/Below Benchmark"/>
    <n v="29"/>
    <s v=""/>
    <n v="20"/>
    <s v="OK"/>
  </r>
  <r>
    <s v="R006"/>
    <s v="Palm Grove Mall"/>
    <s v="Chennai"/>
    <x v="1"/>
    <n v="31000"/>
    <s v="Vacant"/>
    <m/>
    <m/>
    <m/>
    <n v="0"/>
    <s v="Tamil Nadu"/>
    <x v="0"/>
    <m/>
    <s v=""/>
    <m/>
    <m/>
    <s v=""/>
    <s v=""/>
    <s v=""/>
    <s v=""/>
    <s v=""/>
    <s v=""/>
  </r>
  <r>
    <s v="R007"/>
    <s v="Anchor Point Warehouse"/>
    <s v="Mumbai"/>
    <x v="2"/>
    <n v="145000"/>
    <s v="Active"/>
    <s v="2020-01-20"/>
    <s v="2025-01-19"/>
    <n v="3550000"/>
    <n v="2"/>
    <s v="Maharashtra"/>
    <x v="1"/>
    <m/>
    <n v="28"/>
    <s v="FreightLine Cargo "/>
    <s v=" Logistics"/>
    <n v="24.48"/>
    <s v="At/Below Benchmark"/>
    <s v="Expired"/>
    <s v="Renewal Watch"/>
    <n v="1"/>
    <s v="Urgent"/>
  </r>
  <r>
    <s v="R008"/>
    <s v="Anchor Point Warehouse"/>
    <s v="Mumbai"/>
    <x v="2"/>
    <n v="145000"/>
    <s v="Active"/>
    <s v="2020-01-20"/>
    <s v="2025-01-19"/>
    <n v="3550000"/>
    <n v="2"/>
    <s v="Maharashtra"/>
    <x v="1"/>
    <m/>
    <n v="28"/>
    <s v="FreightLine Cargo "/>
    <s v=" Logistics"/>
    <n v="24.48"/>
    <s v="At/Below Benchmark"/>
    <s v="Expired"/>
    <s v="Renewal Watch"/>
    <n v="1"/>
    <s v="Urgent"/>
  </r>
  <r>
    <s v="R009"/>
    <s v="Silver Oak Tech Park"/>
    <s v="Pune"/>
    <x v="0"/>
    <n v="47000"/>
    <s v="Active"/>
    <s v="2023-06-01"/>
    <s v="2027-05-31"/>
    <n v="1890000"/>
    <n v="2"/>
    <s v="Maharashtra"/>
    <x v="1"/>
    <m/>
    <n v="43"/>
    <s v="Beacon Software "/>
    <s v=" IT Services"/>
    <n v="40.21"/>
    <s v="At/Below Benchmark"/>
    <n v="8"/>
    <s v="Renewal Watch"/>
    <n v="16"/>
    <s v="Watch"/>
  </r>
  <r>
    <s v="R010"/>
    <s v="Silver Oak Tech Park"/>
    <s v="Pune"/>
    <x v="0"/>
    <n v="47000"/>
    <s v="Active"/>
    <s v="2023-06-01"/>
    <s v="2027-05-31"/>
    <n v="1890000"/>
    <n v="2"/>
    <s v="Maharashtra"/>
    <x v="1"/>
    <m/>
    <n v="43"/>
    <s v="Beacon Software "/>
    <s v=" IT Services"/>
    <n v="40.21"/>
    <s v="At/Below Benchmark"/>
    <n v="8"/>
    <s v="Renewal Watch"/>
    <n v="16"/>
    <s v="Watch"/>
  </r>
  <r>
    <s v="R011"/>
    <s v="Coral Street Plaza"/>
    <s v="Bengaluru"/>
    <x v="1"/>
    <n v="24000"/>
    <s v="Active"/>
    <s v="2024-01-05"/>
    <s v="2028-01-04"/>
    <n v="990000"/>
    <n v="1"/>
    <s v="Karnataka"/>
    <x v="0"/>
    <m/>
    <n v="46"/>
    <s v="Urban Threads "/>
    <s v=" Fashion Retail"/>
    <n v="41.25"/>
    <s v="At/Below Benchmark"/>
    <n v="15"/>
    <s v=""/>
    <n v="22"/>
    <s v="OK"/>
  </r>
  <r>
    <s v="R012"/>
    <s v="Coral Street Plaza"/>
    <s v="Bengaluru"/>
    <x v="1"/>
    <n v="24000"/>
    <s v="Vacant"/>
    <m/>
    <m/>
    <m/>
    <n v="0"/>
    <s v="Karnataka"/>
    <x v="0"/>
    <m/>
    <s v=""/>
    <m/>
    <m/>
    <s v=""/>
    <s v=""/>
    <s v=""/>
    <s v=""/>
    <s v=""/>
    <s v=""/>
  </r>
  <r>
    <s v="R013"/>
    <s v="Northgate Logistics Hub"/>
    <s v="Delhi"/>
    <x v="2"/>
    <n v="112000"/>
    <s v="Active"/>
    <s v="2019-11-11"/>
    <s v="2024-11-10"/>
    <n v="2980000"/>
    <n v="2"/>
    <s v="Delhi NCR"/>
    <x v="2"/>
    <m/>
    <n v="26"/>
    <s v="SwiftCargo Movers "/>
    <s v=" Logistics"/>
    <n v="26.61"/>
    <s v="Above Benchmark"/>
    <s v="Expired"/>
    <s v="Renewal Watch"/>
    <n v="5"/>
    <s v="Urgent"/>
  </r>
  <r>
    <s v="R014"/>
    <s v="Northgate Logistics Hub"/>
    <s v="Delhi"/>
    <x v="2"/>
    <n v="112000"/>
    <s v="Active"/>
    <s v="2019-11-11"/>
    <s v="2024-11-10"/>
    <n v="2980000"/>
    <n v="2"/>
    <s v="Delhi NCR"/>
    <x v="2"/>
    <m/>
    <n v="26"/>
    <s v="SwiftCargo Movers "/>
    <s v=" Logistics"/>
    <n v="26.61"/>
    <s v="Above Benchmark"/>
    <s v="Expired"/>
    <s v="Renewal Watch"/>
    <n v="5"/>
    <s v="Urgent"/>
  </r>
  <r>
    <s v="R015"/>
    <s v="Zenith IT Campus"/>
    <s v="Hyderabad"/>
    <x v="0"/>
    <n v="81000"/>
    <s v="Active"/>
    <s v="2022-09-01"/>
    <s v="2029-08-31"/>
    <n v="3120000"/>
    <n v="2"/>
    <s v="Telangana"/>
    <x v="0"/>
    <m/>
    <n v="39"/>
    <s v="CoreStack Systems "/>
    <s v=" IT Services"/>
    <n v="38.520000000000003"/>
    <s v="At/Below Benchmark"/>
    <n v="35"/>
    <s v=""/>
    <n v="3"/>
    <s v="OK"/>
  </r>
  <r>
    <s v="R016"/>
    <s v="Zenith IT Campus"/>
    <s v="Hyderabad"/>
    <x v="0"/>
    <n v="81000"/>
    <s v="Active"/>
    <s v="2022-09-01"/>
    <s v="2029-08-31"/>
    <n v="3120000"/>
    <n v="2"/>
    <s v="Telangana"/>
    <x v="0"/>
    <m/>
    <n v="39"/>
    <s v="CoreStack Systems "/>
    <s v=" IT Services"/>
    <n v="38.520000000000003"/>
    <s v="At/Below Benchmark"/>
    <n v="35"/>
    <s v=""/>
    <n v="3"/>
    <s v="OK"/>
  </r>
  <r>
    <s v="R017"/>
    <s v="Marina Bay Retail Court"/>
    <s v="Chennai"/>
    <x v="1"/>
    <n v="19500"/>
    <s v="Active"/>
    <s v="2024-04-18"/>
    <s v="2027-01-17"/>
    <n v="870000"/>
    <n v="2"/>
    <s v="Tamil Nadu"/>
    <x v="0"/>
    <m/>
    <n v="47"/>
    <s v="Coastal Bites "/>
    <s v=" F&amp;B"/>
    <n v="44.62"/>
    <s v="At/Below Benchmark"/>
    <n v="3"/>
    <s v="Renewal Watch"/>
    <n v="23"/>
    <s v="Watch"/>
  </r>
  <r>
    <s v="R018"/>
    <s v="Marina Bay Retail Court"/>
    <s v="Chennai"/>
    <x v="1"/>
    <n v="19500"/>
    <s v="Active"/>
    <s v="2024-04-18"/>
    <s v="2027-01-17"/>
    <n v="870000"/>
    <n v="2"/>
    <s v="Tamil Nadu"/>
    <x v="0"/>
    <m/>
    <n v="47"/>
    <s v="Coastal Bites "/>
    <s v=" F&amp;B"/>
    <n v="44.62"/>
    <s v="At/Below Benchmark"/>
    <n v="3"/>
    <s v="Renewal Watch"/>
    <n v="23"/>
    <s v="Watch"/>
  </r>
  <r>
    <s v="R019"/>
    <s v="Summit Business Center"/>
    <s v="Pune"/>
    <x v="0"/>
    <n v="39000"/>
    <s v="Active"/>
    <s v="2022-02-14"/>
    <s v="2026-11-13"/>
    <n v="1560000"/>
    <n v="1"/>
    <s v="Maharashtra"/>
    <x v="1"/>
    <m/>
    <n v="43"/>
    <s v="Alpine Consulting "/>
    <s v=" Professional Services"/>
    <n v="40"/>
    <s v="At/Below Benchmark"/>
    <n v="1"/>
    <s v="Renewal Watch"/>
    <n v="19"/>
    <s v="Urgent"/>
  </r>
  <r>
    <s v="R020"/>
    <s v="Summit Business Center"/>
    <s v="Pune"/>
    <x v="0"/>
    <n v="39000"/>
    <s v="Vacant"/>
    <m/>
    <m/>
    <m/>
    <n v="0"/>
    <s v="Maharashtra"/>
    <x v="1"/>
    <m/>
    <s v=""/>
    <m/>
    <m/>
    <s v=""/>
    <s v=""/>
    <s v=""/>
    <s v=""/>
    <s v=""/>
    <s v=""/>
  </r>
  <r>
    <s v="R021"/>
    <s v="Blue Ridge Warehouse"/>
    <s v="Mumbai"/>
    <x v="2"/>
    <n v="98000"/>
    <s v="Active"/>
    <s v="2021-07-07"/>
    <s v="2028-07-06"/>
    <n v="2450000"/>
    <n v="1"/>
    <s v="Maharashtra"/>
    <x v="1"/>
    <m/>
    <n v="28"/>
    <s v="Continental Freight "/>
    <s v=" Logistics"/>
    <n v="25"/>
    <s v="At/Below Benchmark"/>
    <n v="21"/>
    <s v=""/>
    <n v="9"/>
    <s v="OK"/>
  </r>
  <r>
    <s v="R022"/>
    <s v="Ashoka Trade Center"/>
    <s v="Noida"/>
    <x v="0"/>
    <n v="44000"/>
    <s v="Active"/>
    <s v="2023-10-01"/>
    <s v="2027-04-30"/>
    <n v="1780000"/>
    <n v="1"/>
    <s v="Not Mapped"/>
    <x v="3"/>
    <m/>
    <s v=""/>
    <s v="Pioneer Traders "/>
    <s v=" Professional Services"/>
    <n v="40.450000000000003"/>
    <s v="At/Below Benchmark"/>
    <n v="7"/>
    <s v="Renewal Watch"/>
    <n v="18"/>
    <s v="Watch"/>
  </r>
  <r>
    <s v="R023"/>
    <s v="Lotus Corporate Park"/>
    <s v="Bengaluru"/>
    <x v="0"/>
    <n v="59000"/>
    <s v="Active"/>
    <s v="2020-12-01"/>
    <s v="2026-10-30"/>
    <n v="2340000"/>
    <n v="2"/>
    <s v="Karnataka"/>
    <x v="0"/>
    <m/>
    <n v="42"/>
    <s v="Vertex BioLabs "/>
    <s v=" Pharma"/>
    <n v="39.659999999999997"/>
    <s v="At/Below Benchmark"/>
    <n v="1"/>
    <s v="Renewal Watch"/>
    <n v="10"/>
    <s v="Urgent"/>
  </r>
  <r>
    <s v="R024"/>
    <s v="Lotus Corporate Park"/>
    <s v="Bengaluru"/>
    <x v="0"/>
    <n v="59000"/>
    <s v="Active"/>
    <s v="2020-12-01"/>
    <s v="2026-10-30"/>
    <n v="2340000"/>
    <n v="2"/>
    <s v="Karnataka"/>
    <x v="0"/>
    <m/>
    <n v="42"/>
    <s v="Vertex BioLabs "/>
    <s v=" Pharma"/>
    <n v="39.659999999999997"/>
    <s v="At/Below Benchmark"/>
    <n v="1"/>
    <s v="Renewal Watch"/>
    <n v="10"/>
    <s v="Urgent"/>
  </r>
  <r>
    <s v="R025"/>
    <s v="Golden Harbor Mall"/>
    <s v="Mumbai"/>
    <x v="1"/>
    <n v="27500"/>
    <s v="Active"/>
    <s v="2023-08-20"/>
    <s v="2029-08-19"/>
    <n v="1180000"/>
    <n v="1"/>
    <s v="Maharashtra"/>
    <x v="1"/>
    <m/>
    <n v="58"/>
    <s v="Bay Fashion House "/>
    <s v=" Fashion Retail"/>
    <n v="42.91"/>
    <s v="At/Below Benchmark"/>
    <n v="34"/>
    <s v=""/>
    <n v="21"/>
    <s v="OK"/>
  </r>
  <r>
    <s v="R026"/>
    <s v="Falcon Industrial Estate"/>
    <s v="Chennai"/>
    <x v="2"/>
    <n v="87000"/>
    <s v="Active"/>
    <s v="2022-03-15"/>
    <s v="2025-10-14"/>
    <n v="2210000"/>
    <n v="2"/>
    <s v="Tamil Nadu"/>
    <x v="0"/>
    <m/>
    <n v="23"/>
    <s v="TransGlobal Logistics "/>
    <s v=" Logistics"/>
    <n v="25.4"/>
    <s v="Above Benchmark"/>
    <s v="Expired"/>
    <s v="Renewal Watch"/>
    <n v="12"/>
    <s v="Urgent"/>
  </r>
  <r>
    <s v="R027"/>
    <s v="Falcon Industrial Estate"/>
    <s v="Chennai"/>
    <x v="2"/>
    <n v="87000"/>
    <s v="Active"/>
    <s v="2022-03-15"/>
    <s v="2025-10-14"/>
    <n v="2210000"/>
    <n v="2"/>
    <s v="Tamil Nadu"/>
    <x v="0"/>
    <m/>
    <n v="23"/>
    <s v="TransGlobal Logistics "/>
    <s v=" Logistics"/>
    <n v="25.4"/>
    <s v="Above Benchmark"/>
    <s v="Expired"/>
    <s v="Renewal Watch"/>
    <n v="12"/>
    <s v="Urgen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482532-CC7E-4B33-B0DD-FBEEB5C7088C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perty Type">
  <location ref="A3:B7" firstHeaderRow="1" firstDataRow="1" firstDataCol="1" rowPageCount="1" colPageCount="1"/>
  <pivotFields count="22"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1" hier="-1"/>
  </pageFields>
  <dataFields count="1">
    <dataField name="Average of Actual Rent per sqft" fld="16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2"/>
  <sheetViews>
    <sheetView zoomScale="42" zoomScaleNormal="100" workbookViewId="0">
      <selection activeCell="B9" sqref="B9"/>
    </sheetView>
  </sheetViews>
  <sheetFormatPr defaultColWidth="8.6328125" defaultRowHeight="14.5" x14ac:dyDescent="0.35"/>
  <cols>
    <col min="1" max="1" width="6" customWidth="1"/>
    <col min="2" max="2" width="100" customWidth="1"/>
  </cols>
  <sheetData>
    <row r="1" spans="1:2" ht="17.5" x14ac:dyDescent="0.35">
      <c r="A1" s="30" t="s">
        <v>220</v>
      </c>
      <c r="B1" s="1"/>
    </row>
    <row r="3" spans="1:2" ht="30" customHeight="1" x14ac:dyDescent="0.35">
      <c r="A3" s="5" t="s">
        <v>139</v>
      </c>
      <c r="B3" s="6" t="s">
        <v>180</v>
      </c>
    </row>
    <row r="4" spans="1:2" ht="30" customHeight="1" x14ac:dyDescent="0.35">
      <c r="A4" s="5" t="s">
        <v>140</v>
      </c>
      <c r="B4" s="6" t="s">
        <v>141</v>
      </c>
    </row>
    <row r="5" spans="1:2" ht="30" customHeight="1" x14ac:dyDescent="0.35">
      <c r="A5" s="5" t="s">
        <v>142</v>
      </c>
      <c r="B5" s="6" t="s">
        <v>143</v>
      </c>
    </row>
    <row r="6" spans="1:2" ht="30" customHeight="1" x14ac:dyDescent="0.35">
      <c r="A6" s="5" t="s">
        <v>144</v>
      </c>
      <c r="B6" s="10" t="s">
        <v>221</v>
      </c>
    </row>
    <row r="7" spans="1:2" ht="30" customHeight="1" x14ac:dyDescent="0.35">
      <c r="A7" s="5" t="s">
        <v>145</v>
      </c>
      <c r="B7" s="10" t="s">
        <v>146</v>
      </c>
    </row>
    <row r="8" spans="1:2" ht="30" customHeight="1" x14ac:dyDescent="0.35">
      <c r="A8" s="5" t="s">
        <v>147</v>
      </c>
      <c r="B8" s="6" t="s">
        <v>148</v>
      </c>
    </row>
    <row r="9" spans="1:2" ht="30" customHeight="1" x14ac:dyDescent="0.35">
      <c r="A9" s="5" t="s">
        <v>149</v>
      </c>
      <c r="B9" s="6" t="s">
        <v>150</v>
      </c>
    </row>
    <row r="10" spans="1:2" ht="30" customHeight="1" x14ac:dyDescent="0.35">
      <c r="A10" s="5" t="s">
        <v>151</v>
      </c>
      <c r="B10" s="10" t="s">
        <v>184</v>
      </c>
    </row>
    <row r="11" spans="1:2" ht="30" customHeight="1" x14ac:dyDescent="0.35">
      <c r="A11" s="5" t="s">
        <v>152</v>
      </c>
      <c r="B11" s="6" t="s">
        <v>153</v>
      </c>
    </row>
    <row r="12" spans="1:2" ht="30" customHeight="1" x14ac:dyDescent="0.35">
      <c r="A12" s="5" t="s">
        <v>154</v>
      </c>
      <c r="B12" s="6" t="s">
        <v>155</v>
      </c>
    </row>
    <row r="13" spans="1:2" ht="30" customHeight="1" x14ac:dyDescent="0.35">
      <c r="A13" s="5" t="s">
        <v>156</v>
      </c>
      <c r="B13" s="6" t="s">
        <v>157</v>
      </c>
    </row>
    <row r="14" spans="1:2" ht="30" customHeight="1" x14ac:dyDescent="0.35">
      <c r="A14" s="5" t="s">
        <v>158</v>
      </c>
      <c r="B14" s="10" t="s">
        <v>208</v>
      </c>
    </row>
    <row r="15" spans="1:2" ht="30" customHeight="1" x14ac:dyDescent="0.35">
      <c r="A15" s="5" t="s">
        <v>159</v>
      </c>
      <c r="B15" s="6" t="s">
        <v>160</v>
      </c>
    </row>
    <row r="16" spans="1:2" ht="30" customHeight="1" x14ac:dyDescent="0.35">
      <c r="A16" s="5" t="s">
        <v>161</v>
      </c>
      <c r="B16" s="6" t="s">
        <v>162</v>
      </c>
    </row>
    <row r="17" spans="1:2" ht="30" customHeight="1" x14ac:dyDescent="0.35">
      <c r="A17" s="5" t="s">
        <v>163</v>
      </c>
      <c r="B17" s="6" t="s">
        <v>164</v>
      </c>
    </row>
    <row r="18" spans="1:2" ht="30" customHeight="1" x14ac:dyDescent="0.35">
      <c r="A18" s="5" t="s">
        <v>165</v>
      </c>
      <c r="B18" s="6" t="s">
        <v>166</v>
      </c>
    </row>
    <row r="19" spans="1:2" ht="30" customHeight="1" x14ac:dyDescent="0.35">
      <c r="A19" s="5" t="s">
        <v>167</v>
      </c>
      <c r="B19" s="10" t="s">
        <v>168</v>
      </c>
    </row>
    <row r="20" spans="1:2" ht="30" customHeight="1" x14ac:dyDescent="0.35">
      <c r="A20" s="5" t="s">
        <v>169</v>
      </c>
      <c r="B20" s="6" t="s">
        <v>170</v>
      </c>
    </row>
    <row r="21" spans="1:2" ht="30" customHeight="1" x14ac:dyDescent="0.35">
      <c r="A21" s="5" t="s">
        <v>171</v>
      </c>
      <c r="B21" s="6" t="s">
        <v>172</v>
      </c>
    </row>
    <row r="22" spans="1:2" ht="30" customHeight="1" x14ac:dyDescent="0.35">
      <c r="A22" s="5" t="s">
        <v>173</v>
      </c>
      <c r="B22" s="6" t="s">
        <v>174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opLeftCell="F1" zoomScaleNormal="100" workbookViewId="0">
      <pane ySplit="1" topLeftCell="A2" activePane="bottomLeft" state="frozen"/>
      <selection pane="bottomLeft" activeCell="D5" sqref="D5"/>
    </sheetView>
  </sheetViews>
  <sheetFormatPr defaultColWidth="8.6328125" defaultRowHeight="14.5" x14ac:dyDescent="0.35"/>
  <cols>
    <col min="1" max="1" width="11.6328125" customWidth="1"/>
    <col min="2" max="2" width="26" customWidth="1"/>
    <col min="3" max="3" width="14" customWidth="1"/>
    <col min="4" max="4" width="13.1796875" bestFit="1" customWidth="1"/>
    <col min="5" max="5" width="15" customWidth="1"/>
    <col min="6" max="6" width="12" customWidth="1"/>
    <col min="7" max="7" width="34" customWidth="1"/>
    <col min="8" max="9" width="14" customWidth="1"/>
    <col min="10" max="10" width="18.08984375" bestFit="1" customWidth="1"/>
  </cols>
  <sheetData>
    <row r="1" spans="1:10" ht="18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3" t="s">
        <v>10</v>
      </c>
      <c r="B2" s="3" t="s">
        <v>11</v>
      </c>
      <c r="C2" s="3" t="s">
        <v>12</v>
      </c>
      <c r="D2" s="3" t="s">
        <v>13</v>
      </c>
      <c r="E2" s="3">
        <v>52000</v>
      </c>
      <c r="F2" s="3" t="s">
        <v>14</v>
      </c>
      <c r="G2" s="3" t="s">
        <v>15</v>
      </c>
      <c r="H2" s="3" t="s">
        <v>16</v>
      </c>
      <c r="I2" s="3" t="s">
        <v>17</v>
      </c>
      <c r="J2" s="3">
        <v>2150000</v>
      </c>
    </row>
    <row r="3" spans="1:10" x14ac:dyDescent="0.35">
      <c r="A3" s="3" t="s">
        <v>18</v>
      </c>
      <c r="B3" s="3" t="s">
        <v>11</v>
      </c>
      <c r="C3" s="3" t="s">
        <v>19</v>
      </c>
      <c r="D3" s="3" t="s">
        <v>13</v>
      </c>
      <c r="E3" s="3">
        <v>52000</v>
      </c>
      <c r="F3" s="3" t="s">
        <v>14</v>
      </c>
      <c r="G3" s="3" t="s">
        <v>15</v>
      </c>
      <c r="H3" s="3" t="s">
        <v>16</v>
      </c>
      <c r="I3" s="3" t="s">
        <v>17</v>
      </c>
      <c r="J3" s="3">
        <v>2150000</v>
      </c>
    </row>
    <row r="4" spans="1:10" x14ac:dyDescent="0.35">
      <c r="A4" s="3" t="s">
        <v>20</v>
      </c>
      <c r="B4" s="3" t="s">
        <v>21</v>
      </c>
      <c r="C4" s="3" t="s">
        <v>22</v>
      </c>
      <c r="D4" s="3" t="s">
        <v>13</v>
      </c>
      <c r="E4" s="3">
        <v>68000</v>
      </c>
      <c r="F4" s="3" t="s">
        <v>14</v>
      </c>
      <c r="G4" s="3" t="s">
        <v>23</v>
      </c>
      <c r="H4" s="3" t="s">
        <v>24</v>
      </c>
      <c r="I4" s="3" t="s">
        <v>25</v>
      </c>
      <c r="J4" s="3">
        <v>2680000</v>
      </c>
    </row>
    <row r="5" spans="1:10" x14ac:dyDescent="0.35">
      <c r="A5" s="3" t="s">
        <v>26</v>
      </c>
      <c r="B5" s="3" t="s">
        <v>27</v>
      </c>
      <c r="C5" s="3" t="s">
        <v>28</v>
      </c>
      <c r="D5" s="3" t="s">
        <v>29</v>
      </c>
      <c r="E5" s="3">
        <v>68000</v>
      </c>
      <c r="F5" s="3" t="s">
        <v>30</v>
      </c>
      <c r="G5" s="3" t="s">
        <v>23</v>
      </c>
      <c r="H5" s="3" t="s">
        <v>24</v>
      </c>
      <c r="I5" s="3" t="s">
        <v>25</v>
      </c>
      <c r="J5" s="3">
        <v>2680000</v>
      </c>
    </row>
    <row r="6" spans="1:10" x14ac:dyDescent="0.35">
      <c r="A6" s="3" t="s">
        <v>31</v>
      </c>
      <c r="B6" s="3" t="s">
        <v>32</v>
      </c>
      <c r="C6" s="3" t="s">
        <v>33</v>
      </c>
      <c r="D6" s="3" t="s">
        <v>34</v>
      </c>
      <c r="E6" s="3">
        <v>31000</v>
      </c>
      <c r="F6" s="3" t="s">
        <v>14</v>
      </c>
      <c r="G6" s="3" t="s">
        <v>35</v>
      </c>
      <c r="H6" s="3" t="s">
        <v>36</v>
      </c>
      <c r="I6" s="3" t="s">
        <v>37</v>
      </c>
      <c r="J6" s="3">
        <v>1320000</v>
      </c>
    </row>
    <row r="7" spans="1:10" x14ac:dyDescent="0.35">
      <c r="A7" s="3" t="s">
        <v>38</v>
      </c>
      <c r="B7" s="3" t="s">
        <v>32</v>
      </c>
      <c r="C7" s="3" t="s">
        <v>39</v>
      </c>
      <c r="D7" s="3" t="s">
        <v>34</v>
      </c>
      <c r="E7" s="3">
        <v>31000</v>
      </c>
      <c r="F7" s="3" t="s">
        <v>40</v>
      </c>
      <c r="G7" s="3"/>
      <c r="H7" s="3"/>
      <c r="I7" s="3"/>
      <c r="J7" s="3"/>
    </row>
    <row r="8" spans="1:10" x14ac:dyDescent="0.35">
      <c r="A8" s="3" t="s">
        <v>41</v>
      </c>
      <c r="B8" s="3" t="s">
        <v>42</v>
      </c>
      <c r="C8" s="3" t="s">
        <v>43</v>
      </c>
      <c r="D8" s="3" t="s">
        <v>44</v>
      </c>
      <c r="E8" s="3">
        <v>145000</v>
      </c>
      <c r="F8" s="3" t="s">
        <v>14</v>
      </c>
      <c r="G8" s="3" t="s">
        <v>45</v>
      </c>
      <c r="H8" s="3" t="s">
        <v>46</v>
      </c>
      <c r="I8" s="3" t="s">
        <v>47</v>
      </c>
      <c r="J8" s="3">
        <v>3550000</v>
      </c>
    </row>
    <row r="9" spans="1:10" x14ac:dyDescent="0.35">
      <c r="A9" s="3" t="s">
        <v>48</v>
      </c>
      <c r="B9" s="3" t="s">
        <v>42</v>
      </c>
      <c r="C9" s="3" t="s">
        <v>49</v>
      </c>
      <c r="D9" s="3" t="s">
        <v>44</v>
      </c>
      <c r="E9" s="3">
        <v>145000</v>
      </c>
      <c r="F9" s="3" t="s">
        <v>14</v>
      </c>
      <c r="G9" s="3" t="s">
        <v>45</v>
      </c>
      <c r="H9" s="3" t="s">
        <v>46</v>
      </c>
      <c r="I9" s="3" t="s">
        <v>47</v>
      </c>
      <c r="J9" s="3">
        <v>3550000</v>
      </c>
    </row>
    <row r="10" spans="1:10" x14ac:dyDescent="0.35">
      <c r="A10" s="3" t="s">
        <v>50</v>
      </c>
      <c r="B10" s="3" t="s">
        <v>51</v>
      </c>
      <c r="C10" s="3" t="s">
        <v>52</v>
      </c>
      <c r="D10" s="3" t="s">
        <v>13</v>
      </c>
      <c r="E10" s="3">
        <v>47000</v>
      </c>
      <c r="F10" s="3" t="s">
        <v>14</v>
      </c>
      <c r="G10" s="3" t="s">
        <v>53</v>
      </c>
      <c r="H10" s="3" t="s">
        <v>54</v>
      </c>
      <c r="I10" s="3" t="s">
        <v>55</v>
      </c>
      <c r="J10" s="3">
        <v>1890000</v>
      </c>
    </row>
    <row r="11" spans="1:10" x14ac:dyDescent="0.35">
      <c r="A11" s="3" t="s">
        <v>56</v>
      </c>
      <c r="B11" s="3" t="s">
        <v>51</v>
      </c>
      <c r="C11" s="3" t="s">
        <v>57</v>
      </c>
      <c r="D11" s="3" t="s">
        <v>29</v>
      </c>
      <c r="E11" s="3">
        <v>47000</v>
      </c>
      <c r="F11" s="3" t="s">
        <v>14</v>
      </c>
      <c r="G11" s="3" t="s">
        <v>53</v>
      </c>
      <c r="H11" s="3" t="s">
        <v>54</v>
      </c>
      <c r="I11" s="3" t="s">
        <v>55</v>
      </c>
      <c r="J11" s="3">
        <v>1890000</v>
      </c>
    </row>
    <row r="12" spans="1:10" x14ac:dyDescent="0.35">
      <c r="A12" s="3" t="s">
        <v>58</v>
      </c>
      <c r="B12" s="3" t="s">
        <v>59</v>
      </c>
      <c r="C12" s="3" t="s">
        <v>19</v>
      </c>
      <c r="D12" s="3" t="s">
        <v>34</v>
      </c>
      <c r="E12" s="3">
        <v>24000</v>
      </c>
      <c r="F12" s="3" t="s">
        <v>14</v>
      </c>
      <c r="G12" s="3" t="s">
        <v>60</v>
      </c>
      <c r="H12" s="3" t="s">
        <v>61</v>
      </c>
      <c r="I12" s="3" t="s">
        <v>62</v>
      </c>
      <c r="J12" s="3">
        <v>990000</v>
      </c>
    </row>
    <row r="13" spans="1:10" x14ac:dyDescent="0.35">
      <c r="A13" s="3" t="s">
        <v>63</v>
      </c>
      <c r="B13" s="3" t="s">
        <v>59</v>
      </c>
      <c r="C13" s="3" t="s">
        <v>19</v>
      </c>
      <c r="D13" s="3" t="s">
        <v>34</v>
      </c>
      <c r="E13" s="3">
        <v>24000</v>
      </c>
      <c r="F13" s="3" t="s">
        <v>40</v>
      </c>
      <c r="G13" s="3"/>
      <c r="H13" s="3"/>
      <c r="I13" s="3"/>
      <c r="J13" s="3"/>
    </row>
    <row r="14" spans="1:10" x14ac:dyDescent="0.35">
      <c r="A14" s="3" t="s">
        <v>64</v>
      </c>
      <c r="B14" s="3" t="s">
        <v>65</v>
      </c>
      <c r="C14" s="3" t="s">
        <v>66</v>
      </c>
      <c r="D14" s="3" t="s">
        <v>44</v>
      </c>
      <c r="E14" s="3">
        <v>112000</v>
      </c>
      <c r="F14" s="3" t="s">
        <v>14</v>
      </c>
      <c r="G14" s="3" t="s">
        <v>67</v>
      </c>
      <c r="H14" s="3" t="s">
        <v>68</v>
      </c>
      <c r="I14" s="3" t="s">
        <v>69</v>
      </c>
      <c r="J14" s="3">
        <v>2980000</v>
      </c>
    </row>
    <row r="15" spans="1:10" x14ac:dyDescent="0.35">
      <c r="A15" s="3" t="s">
        <v>70</v>
      </c>
      <c r="B15" s="3" t="s">
        <v>65</v>
      </c>
      <c r="C15" s="3" t="s">
        <v>71</v>
      </c>
      <c r="D15" s="3" t="s">
        <v>72</v>
      </c>
      <c r="E15" s="3">
        <v>112000</v>
      </c>
      <c r="F15" s="3" t="s">
        <v>14</v>
      </c>
      <c r="G15" s="3" t="s">
        <v>67</v>
      </c>
      <c r="H15" s="3" t="s">
        <v>68</v>
      </c>
      <c r="I15" s="3" t="s">
        <v>69</v>
      </c>
      <c r="J15" s="3">
        <v>2980000</v>
      </c>
    </row>
    <row r="16" spans="1:10" x14ac:dyDescent="0.35">
      <c r="A16" s="3" t="s">
        <v>73</v>
      </c>
      <c r="B16" s="3" t="s">
        <v>74</v>
      </c>
      <c r="C16" s="3" t="s">
        <v>75</v>
      </c>
      <c r="D16" s="3" t="s">
        <v>13</v>
      </c>
      <c r="E16" s="3">
        <v>81000</v>
      </c>
      <c r="F16" s="3" t="s">
        <v>14</v>
      </c>
      <c r="G16" s="3" t="s">
        <v>76</v>
      </c>
      <c r="H16" s="3" t="s">
        <v>77</v>
      </c>
      <c r="I16" s="3" t="s">
        <v>78</v>
      </c>
      <c r="J16" s="3">
        <v>3120000</v>
      </c>
    </row>
    <row r="17" spans="1:10" x14ac:dyDescent="0.35">
      <c r="A17" s="3" t="s">
        <v>79</v>
      </c>
      <c r="B17" s="3" t="s">
        <v>74</v>
      </c>
      <c r="C17" s="3" t="s">
        <v>28</v>
      </c>
      <c r="D17" s="3" t="s">
        <v>13</v>
      </c>
      <c r="E17" s="3">
        <v>81000</v>
      </c>
      <c r="F17" s="3" t="s">
        <v>14</v>
      </c>
      <c r="G17" s="3" t="s">
        <v>76</v>
      </c>
      <c r="H17" s="3" t="s">
        <v>77</v>
      </c>
      <c r="I17" s="3" t="s">
        <v>78</v>
      </c>
      <c r="J17" s="3">
        <v>3120000</v>
      </c>
    </row>
    <row r="18" spans="1:10" x14ac:dyDescent="0.35">
      <c r="A18" s="3" t="s">
        <v>80</v>
      </c>
      <c r="B18" s="3" t="s">
        <v>81</v>
      </c>
      <c r="C18" s="3" t="s">
        <v>33</v>
      </c>
      <c r="D18" s="3" t="s">
        <v>34</v>
      </c>
      <c r="E18" s="3">
        <v>19500</v>
      </c>
      <c r="F18" s="3" t="s">
        <v>14</v>
      </c>
      <c r="G18" s="3" t="s">
        <v>82</v>
      </c>
      <c r="H18" s="3" t="s">
        <v>83</v>
      </c>
      <c r="I18" s="3" t="s">
        <v>84</v>
      </c>
      <c r="J18" s="3">
        <v>870000</v>
      </c>
    </row>
    <row r="19" spans="1:10" x14ac:dyDescent="0.35">
      <c r="A19" s="3" t="s">
        <v>85</v>
      </c>
      <c r="B19" s="3" t="s">
        <v>81</v>
      </c>
      <c r="C19" s="3" t="s">
        <v>86</v>
      </c>
      <c r="D19" s="3" t="s">
        <v>87</v>
      </c>
      <c r="E19" s="3">
        <v>19500</v>
      </c>
      <c r="F19" s="3" t="s">
        <v>14</v>
      </c>
      <c r="G19" s="3" t="s">
        <v>82</v>
      </c>
      <c r="H19" s="3" t="s">
        <v>83</v>
      </c>
      <c r="I19" s="3" t="s">
        <v>84</v>
      </c>
      <c r="J19" s="3">
        <v>870000</v>
      </c>
    </row>
    <row r="20" spans="1:10" x14ac:dyDescent="0.35">
      <c r="A20" s="3" t="s">
        <v>88</v>
      </c>
      <c r="B20" s="3" t="s">
        <v>89</v>
      </c>
      <c r="C20" s="3" t="s">
        <v>52</v>
      </c>
      <c r="D20" s="3" t="s">
        <v>13</v>
      </c>
      <c r="E20" s="3">
        <v>39000</v>
      </c>
      <c r="F20" s="3" t="s">
        <v>14</v>
      </c>
      <c r="G20" s="3" t="s">
        <v>90</v>
      </c>
      <c r="H20" s="3" t="s">
        <v>91</v>
      </c>
      <c r="I20" s="3" t="s">
        <v>92</v>
      </c>
      <c r="J20" s="3">
        <v>1560000</v>
      </c>
    </row>
    <row r="21" spans="1:10" x14ac:dyDescent="0.35">
      <c r="A21" s="3" t="s">
        <v>93</v>
      </c>
      <c r="B21" s="3" t="s">
        <v>89</v>
      </c>
      <c r="C21" s="3" t="s">
        <v>52</v>
      </c>
      <c r="D21" s="3" t="s">
        <v>13</v>
      </c>
      <c r="E21" s="3">
        <v>39000</v>
      </c>
      <c r="F21" s="3" t="s">
        <v>40</v>
      </c>
      <c r="G21" s="3"/>
      <c r="H21" s="3"/>
      <c r="I21" s="3"/>
      <c r="J21" s="3"/>
    </row>
    <row r="22" spans="1:10" x14ac:dyDescent="0.35">
      <c r="A22" s="3" t="s">
        <v>94</v>
      </c>
      <c r="B22" s="3" t="s">
        <v>95</v>
      </c>
      <c r="C22" s="3" t="s">
        <v>43</v>
      </c>
      <c r="D22" s="3" t="s">
        <v>44</v>
      </c>
      <c r="E22" s="3">
        <v>98000</v>
      </c>
      <c r="F22" s="3" t="s">
        <v>14</v>
      </c>
      <c r="G22" s="3" t="s">
        <v>96</v>
      </c>
      <c r="H22" s="3" t="s">
        <v>97</v>
      </c>
      <c r="I22" s="3" t="s">
        <v>98</v>
      </c>
      <c r="J22" s="3">
        <v>2450000</v>
      </c>
    </row>
    <row r="23" spans="1:10" x14ac:dyDescent="0.35">
      <c r="A23" s="3" t="s">
        <v>99</v>
      </c>
      <c r="B23" s="3" t="s">
        <v>100</v>
      </c>
      <c r="C23" s="3" t="s">
        <v>101</v>
      </c>
      <c r="D23" s="3" t="s">
        <v>13</v>
      </c>
      <c r="E23" s="3">
        <v>44000</v>
      </c>
      <c r="F23" s="3" t="s">
        <v>14</v>
      </c>
      <c r="G23" s="3" t="s">
        <v>102</v>
      </c>
      <c r="H23" s="3" t="s">
        <v>103</v>
      </c>
      <c r="I23" s="3" t="s">
        <v>104</v>
      </c>
      <c r="J23" s="3">
        <v>1780000</v>
      </c>
    </row>
    <row r="24" spans="1:10" x14ac:dyDescent="0.35">
      <c r="A24" s="3" t="s">
        <v>105</v>
      </c>
      <c r="B24" s="3" t="s">
        <v>106</v>
      </c>
      <c r="C24" s="3" t="s">
        <v>19</v>
      </c>
      <c r="D24" s="3" t="s">
        <v>13</v>
      </c>
      <c r="E24" s="3">
        <v>59000</v>
      </c>
      <c r="F24" s="3" t="s">
        <v>14</v>
      </c>
      <c r="G24" s="3" t="s">
        <v>107</v>
      </c>
      <c r="H24" s="3" t="s">
        <v>108</v>
      </c>
      <c r="I24" s="3" t="s">
        <v>109</v>
      </c>
      <c r="J24" s="3">
        <v>2340000</v>
      </c>
    </row>
    <row r="25" spans="1:10" x14ac:dyDescent="0.35">
      <c r="A25" s="3" t="s">
        <v>110</v>
      </c>
      <c r="B25" s="3" t="s">
        <v>106</v>
      </c>
      <c r="C25" s="3" t="s">
        <v>19</v>
      </c>
      <c r="D25" s="3" t="s">
        <v>13</v>
      </c>
      <c r="E25" s="3">
        <v>59000</v>
      </c>
      <c r="F25" s="3" t="s">
        <v>14</v>
      </c>
      <c r="G25" s="3" t="s">
        <v>107</v>
      </c>
      <c r="H25" s="3" t="s">
        <v>108</v>
      </c>
      <c r="I25" s="3" t="s">
        <v>109</v>
      </c>
      <c r="J25" s="3">
        <v>2340000</v>
      </c>
    </row>
    <row r="26" spans="1:10" x14ac:dyDescent="0.35">
      <c r="A26" s="3" t="s">
        <v>111</v>
      </c>
      <c r="B26" s="3" t="s">
        <v>112</v>
      </c>
      <c r="C26" s="3" t="s">
        <v>43</v>
      </c>
      <c r="D26" s="3" t="s">
        <v>34</v>
      </c>
      <c r="E26" s="3">
        <v>27500</v>
      </c>
      <c r="F26" s="3" t="s">
        <v>14</v>
      </c>
      <c r="G26" s="3" t="s">
        <v>113</v>
      </c>
      <c r="H26" s="3" t="s">
        <v>114</v>
      </c>
      <c r="I26" s="3" t="s">
        <v>115</v>
      </c>
      <c r="J26" s="3">
        <v>1180000</v>
      </c>
    </row>
    <row r="27" spans="1:10" x14ac:dyDescent="0.35">
      <c r="A27" s="3" t="s">
        <v>116</v>
      </c>
      <c r="B27" s="3" t="s">
        <v>117</v>
      </c>
      <c r="C27" s="3" t="s">
        <v>33</v>
      </c>
      <c r="D27" s="3" t="s">
        <v>44</v>
      </c>
      <c r="E27" s="3">
        <v>87000</v>
      </c>
      <c r="F27" s="3" t="s">
        <v>14</v>
      </c>
      <c r="G27" s="3" t="s">
        <v>118</v>
      </c>
      <c r="H27" s="3" t="s">
        <v>119</v>
      </c>
      <c r="I27" s="3" t="s">
        <v>120</v>
      </c>
      <c r="J27" s="3">
        <v>2210000</v>
      </c>
    </row>
    <row r="28" spans="1:10" x14ac:dyDescent="0.35">
      <c r="A28" s="3" t="s">
        <v>121</v>
      </c>
      <c r="B28" s="3" t="s">
        <v>117</v>
      </c>
      <c r="C28" s="3" t="s">
        <v>122</v>
      </c>
      <c r="D28" s="3" t="s">
        <v>72</v>
      </c>
      <c r="E28" s="3">
        <v>87000</v>
      </c>
      <c r="F28" s="3" t="s">
        <v>14</v>
      </c>
      <c r="G28" s="3" t="s">
        <v>118</v>
      </c>
      <c r="H28" s="3" t="s">
        <v>119</v>
      </c>
      <c r="I28" s="3" t="s">
        <v>120</v>
      </c>
      <c r="J28" s="3">
        <v>2210000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FB114-1099-40BA-A612-42554D50D519}">
  <dimension ref="A1:V64"/>
  <sheetViews>
    <sheetView tabSelected="1" topLeftCell="K1" zoomScale="87" zoomScaleNormal="99" workbookViewId="0">
      <pane ySplit="1" topLeftCell="A2" activePane="bottomLeft" state="frozen"/>
      <selection pane="bottomLeft" activeCell="B64" sqref="B64"/>
    </sheetView>
  </sheetViews>
  <sheetFormatPr defaultColWidth="8.6328125" defaultRowHeight="14.5" x14ac:dyDescent="0.35"/>
  <cols>
    <col min="1" max="1" width="11.6328125" customWidth="1"/>
    <col min="2" max="2" width="26" customWidth="1"/>
    <col min="3" max="3" width="14" customWidth="1"/>
    <col min="4" max="4" width="13.1796875" customWidth="1"/>
    <col min="5" max="5" width="15" customWidth="1"/>
    <col min="6" max="6" width="12" customWidth="1"/>
    <col min="7" max="7" width="15.1796875" style="14" bestFit="1" customWidth="1"/>
    <col min="8" max="8" width="14.54296875" style="14" bestFit="1" customWidth="1"/>
    <col min="9" max="9" width="18.08984375" style="17" bestFit="1" customWidth="1"/>
    <col min="10" max="10" width="16.54296875" bestFit="1" customWidth="1"/>
    <col min="11" max="11" width="10.6328125" style="9" bestFit="1" customWidth="1"/>
    <col min="12" max="12" width="11.26953125" bestFit="1" customWidth="1"/>
    <col min="13" max="13" width="9.90625" bestFit="1" customWidth="1"/>
    <col min="14" max="14" width="15.36328125" bestFit="1" customWidth="1"/>
    <col min="15" max="15" width="34" customWidth="1"/>
    <col min="16" max="16" width="18.7265625" bestFit="1" customWidth="1"/>
    <col min="17" max="17" width="18.1796875" style="17" bestFit="1" customWidth="1"/>
    <col min="18" max="18" width="18.54296875" bestFit="1" customWidth="1"/>
    <col min="19" max="19" width="17.1796875" bestFit="1" customWidth="1"/>
    <col min="20" max="20" width="14.36328125" bestFit="1" customWidth="1"/>
    <col min="21" max="21" width="18.08984375" bestFit="1" customWidth="1"/>
  </cols>
  <sheetData>
    <row r="1" spans="1:22" ht="31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2" t="s">
        <v>7</v>
      </c>
      <c r="H1" s="12" t="s">
        <v>8</v>
      </c>
      <c r="I1" s="15" t="s">
        <v>9</v>
      </c>
      <c r="J1" s="2" t="s">
        <v>181</v>
      </c>
      <c r="K1" s="7" t="s">
        <v>123</v>
      </c>
      <c r="L1" s="7" t="s">
        <v>129</v>
      </c>
      <c r="M1" s="7" t="s">
        <v>175</v>
      </c>
      <c r="N1" s="7" t="s">
        <v>183</v>
      </c>
      <c r="O1" s="7" t="s">
        <v>176</v>
      </c>
      <c r="P1" s="7" t="s">
        <v>177</v>
      </c>
      <c r="Q1" s="18" t="s">
        <v>206</v>
      </c>
      <c r="R1" s="18" t="s">
        <v>207</v>
      </c>
      <c r="S1" s="18" t="s">
        <v>178</v>
      </c>
      <c r="T1" s="18" t="s">
        <v>209</v>
      </c>
      <c r="U1" s="18" t="s">
        <v>211</v>
      </c>
      <c r="V1" s="18" t="s">
        <v>179</v>
      </c>
    </row>
    <row r="2" spans="1:22" x14ac:dyDescent="0.35">
      <c r="A2" s="3" t="s">
        <v>10</v>
      </c>
      <c r="B2" s="3" t="s">
        <v>11</v>
      </c>
      <c r="C2" s="3" t="s">
        <v>19</v>
      </c>
      <c r="D2" s="3" t="s">
        <v>13</v>
      </c>
      <c r="E2" s="3">
        <v>52000</v>
      </c>
      <c r="F2" s="3" t="s">
        <v>14</v>
      </c>
      <c r="G2" s="13" t="s">
        <v>16</v>
      </c>
      <c r="H2" s="13" t="s">
        <v>17</v>
      </c>
      <c r="I2" s="16">
        <v>2150000</v>
      </c>
      <c r="J2">
        <f>COUNTIFS($B$2:$B$28,B2,$C$2:$C$28,C2,$G$2:$G$28,G2)</f>
        <v>2</v>
      </c>
      <c r="K2" s="8" t="str">
        <f>IFERROR(INDEX('City-State Lookup'!$B$2:$B$7,MATCH('Portfolio Data (Modified)'!C2,'City-State Lookup'!$A$2:$A$7,0)),"Not Mapped")</f>
        <v>Karnataka</v>
      </c>
      <c r="L2" t="str">
        <f>IFERROR(INDEX('State-Region Lookup'!$B$2:$B$6,MATCH('Portfolio Data (Modified)'!K2,'State-Region Lookup'!$A$2:$A$6,0)),"Not Mapped")</f>
        <v>South</v>
      </c>
      <c r="M2" t="str">
        <f>IF(F2&lt;&gt;"Active","",VLOOKUP(I2,'Rent Band Table'!$A$2:$B$5,2,TRUE))</f>
        <v>High</v>
      </c>
      <c r="N2">
        <f>IFERROR(IF(F2="Active",INDEX('Benchmark Rate Card'!$B$2:$G$4,MATCH('Portfolio Data (Modified)'!D2,'Benchmark Rate Card'!$A$2:$A$4,0),MATCH('Portfolio Data (Modified)'!C2,'Benchmark Rate Card'!$B$1:$G$1,0)),""),"")</f>
        <v>42</v>
      </c>
      <c r="O2" s="3" t="s">
        <v>185</v>
      </c>
      <c r="P2" t="s">
        <v>186</v>
      </c>
      <c r="Q2" s="17">
        <f>IF(F2="Active",ROUND(I2/E2,2),"")</f>
        <v>41.35</v>
      </c>
      <c r="R2" t="str">
        <f>IF(F2="Active",_xlfn.IFS(Q2&gt;N2,"Above Benchmark",Q2&lt;=N2,"At/Below Benchmark"),"")</f>
        <v>At/Below Benchmark</v>
      </c>
      <c r="S2">
        <f ca="1">IFERROR(IF(F2="Active",DATEDIF(TODAY(),H2,"m"),""),"Expired")</f>
        <v>19</v>
      </c>
      <c r="T2" t="str">
        <f ca="1">IF(OR(S2&lt;12,S2="Expired"),"Renewal Watch","")</f>
        <v/>
      </c>
      <c r="U2">
        <f>IFERROR(RANK(I2,$I$2:$I$28,0),"")</f>
        <v>14</v>
      </c>
      <c r="V2" t="str">
        <f ca="1">IF(F2&lt;&gt;"Active","",_xlfn.IFS(S2="Expired","Urgent",S2&lt;3,"Urgent",S2&lt;12,"Watch",S2&gt;=12,"OK"))</f>
        <v>OK</v>
      </c>
    </row>
    <row r="3" spans="1:22" x14ac:dyDescent="0.35">
      <c r="A3" s="3" t="s">
        <v>18</v>
      </c>
      <c r="B3" s="3" t="s">
        <v>11</v>
      </c>
      <c r="C3" s="3" t="s">
        <v>19</v>
      </c>
      <c r="D3" s="3" t="s">
        <v>13</v>
      </c>
      <c r="E3" s="3">
        <v>52000</v>
      </c>
      <c r="F3" s="3" t="s">
        <v>14</v>
      </c>
      <c r="G3" s="13" t="s">
        <v>16</v>
      </c>
      <c r="H3" s="13" t="s">
        <v>17</v>
      </c>
      <c r="I3" s="16">
        <v>2150000</v>
      </c>
      <c r="J3">
        <f>COUNTIFS($B$2:$B$28,B3,$C$2:$C$28,C3,$G$2:$G$28,G3)</f>
        <v>2</v>
      </c>
      <c r="K3" s="8" t="str">
        <f>IFERROR(INDEX('City-State Lookup'!$B$2:$B$7,MATCH('Portfolio Data (Modified)'!C3,'City-State Lookup'!$A$2:$A$7,0)),"Not Mapped")</f>
        <v>Karnataka</v>
      </c>
      <c r="L3" t="str">
        <f>IFERROR(INDEX('State-Region Lookup'!$B$2:$B$6,MATCH('Portfolio Data (Modified)'!K3,'State-Region Lookup'!$A$2:$A$6,0)),"Not Mapped")</f>
        <v>South</v>
      </c>
      <c r="M3" t="str">
        <f>IF(F3&lt;&gt;"Active","",VLOOKUP(I3,'Rent Band Table'!$A$2:$B$5,2,TRUE))</f>
        <v>High</v>
      </c>
      <c r="N3">
        <f>IFERROR(IF(F3="Active",INDEX('Benchmark Rate Card'!$B$2:$G$4,MATCH('Portfolio Data (Modified)'!D3,'Benchmark Rate Card'!$A$2:$A$4,0),MATCH('Portfolio Data (Modified)'!C3,'Benchmark Rate Card'!$B$1:$G$1,0)),""),"")</f>
        <v>42</v>
      </c>
      <c r="O3" s="3" t="s">
        <v>185</v>
      </c>
      <c r="P3" t="s">
        <v>186</v>
      </c>
      <c r="Q3" s="17">
        <f t="shared" ref="Q3:Q28" si="0">IF(F3="Active",ROUND(I3/E3,2),"")</f>
        <v>41.35</v>
      </c>
      <c r="R3" t="str">
        <f>IF(F3="Active",_xlfn.IFS(Q3&gt;N3,"Above Benchmark",Q3&lt;=N3,"At/Below Benchmark"),"")</f>
        <v>At/Below Benchmark</v>
      </c>
      <c r="S3">
        <f ca="1">IFERROR(IF(F3="Active",DATEDIF(TODAY(),H3,"m"),""),"Expired")</f>
        <v>19</v>
      </c>
      <c r="T3" t="str">
        <f t="shared" ref="T3:T28" ca="1" si="1">IF(OR(S3&lt;12,S3="Expired"),"Renewal Watch","")</f>
        <v/>
      </c>
      <c r="U3">
        <f t="shared" ref="U3:U28" si="2">IFERROR(RANK(I3,$I$2:$I$28,0),"")</f>
        <v>14</v>
      </c>
      <c r="V3" t="str">
        <f ca="1">IF(F3&lt;&gt;"Active","",_xlfn.IFS(S3="Expired","Urgent",S3&lt;3,"Urgent",S3&lt;12,"Watch",S3&gt;=12,"OK"))</f>
        <v>OK</v>
      </c>
    </row>
    <row r="4" spans="1:22" x14ac:dyDescent="0.35">
      <c r="A4" s="3" t="s">
        <v>20</v>
      </c>
      <c r="B4" s="3" t="s">
        <v>21</v>
      </c>
      <c r="C4" s="3" t="s">
        <v>28</v>
      </c>
      <c r="D4" s="3" t="s">
        <v>13</v>
      </c>
      <c r="E4" s="3">
        <v>68000</v>
      </c>
      <c r="F4" s="3" t="s">
        <v>14</v>
      </c>
      <c r="G4" s="13" t="s">
        <v>24</v>
      </c>
      <c r="H4" s="13" t="s">
        <v>25</v>
      </c>
      <c r="I4" s="16">
        <v>2680000</v>
      </c>
      <c r="J4">
        <f>COUNTIFS($B$2:$B$28,B4,$C$2:$C$28,C4,$G$2:$G$28,G4)</f>
        <v>1</v>
      </c>
      <c r="K4" s="8" t="str">
        <f>IFERROR(INDEX('City-State Lookup'!$B$2:$B$7,MATCH('Portfolio Data (Modified)'!C4,'City-State Lookup'!$A$2:$A$7,0)),"Not Mapped")</f>
        <v>Telangana</v>
      </c>
      <c r="L4" t="str">
        <f>IFERROR(INDEX('State-Region Lookup'!$B$2:$B$6,MATCH('Portfolio Data (Modified)'!K4,'State-Region Lookup'!$A$2:$A$6,0)),"Not Mapped")</f>
        <v>South</v>
      </c>
      <c r="M4" t="str">
        <f>IF(F4&lt;&gt;"Active","",VLOOKUP(I4,'Rent Band Table'!$A$2:$B$5,2,TRUE))</f>
        <v>High</v>
      </c>
      <c r="N4">
        <f>IFERROR(IF(F4="Active",INDEX('Benchmark Rate Card'!$B$2:$G$4,MATCH('Portfolio Data (Modified)'!D4,'Benchmark Rate Card'!$A$2:$A$4,0),MATCH('Portfolio Data (Modified)'!C4,'Benchmark Rate Card'!$B$1:$G$1,0)),""),"")</f>
        <v>39</v>
      </c>
      <c r="O4" s="3" t="s">
        <v>187</v>
      </c>
      <c r="P4" t="s">
        <v>186</v>
      </c>
      <c r="Q4" s="17">
        <f t="shared" si="0"/>
        <v>39.409999999999997</v>
      </c>
      <c r="R4" t="str">
        <f>IF(F4="Active",_xlfn.IFS(Q4&gt;N4,"Above Benchmark",Q4&lt;=N4,"At/Below Benchmark"),"")</f>
        <v>Above Benchmark</v>
      </c>
      <c r="S4">
        <f ca="1">IFERROR(IF(F4="Active",DATEDIF(TODAY(),H4,"m"),""),"Expired")</f>
        <v>5</v>
      </c>
      <c r="T4" t="str">
        <f t="shared" ca="1" si="1"/>
        <v>Renewal Watch</v>
      </c>
      <c r="U4">
        <f t="shared" si="2"/>
        <v>7</v>
      </c>
      <c r="V4" t="str">
        <f ca="1">IF(F4&lt;&gt;"Active","",_xlfn.IFS(S4="Expired","Urgent",S4&lt;3,"Urgent",S4&lt;12,"Watch",S4&gt;=12,"OK"))</f>
        <v>Watch</v>
      </c>
    </row>
    <row r="5" spans="1:22" x14ac:dyDescent="0.35">
      <c r="A5" s="3" t="s">
        <v>26</v>
      </c>
      <c r="B5" s="3" t="s">
        <v>27</v>
      </c>
      <c r="C5" s="3" t="s">
        <v>28</v>
      </c>
      <c r="D5" s="3" t="s">
        <v>13</v>
      </c>
      <c r="E5" s="3">
        <v>68000</v>
      </c>
      <c r="F5" s="3" t="s">
        <v>14</v>
      </c>
      <c r="G5" s="13" t="s">
        <v>24</v>
      </c>
      <c r="H5" s="13" t="s">
        <v>25</v>
      </c>
      <c r="I5" s="16">
        <v>2680000</v>
      </c>
      <c r="J5">
        <f>COUNTIFS($B$2:$B$28,B5,$C$2:$C$28,C5,$G$2:$G$28,G5)</f>
        <v>1</v>
      </c>
      <c r="K5" s="8" t="str">
        <f>IFERROR(INDEX('City-State Lookup'!$B$2:$B$7,MATCH('Portfolio Data (Modified)'!C5,'City-State Lookup'!$A$2:$A$7,0)),"Not Mapped")</f>
        <v>Telangana</v>
      </c>
      <c r="L5" t="str">
        <f>IFERROR(INDEX('State-Region Lookup'!$B$2:$B$6,MATCH('Portfolio Data (Modified)'!K5,'State-Region Lookup'!$A$2:$A$6,0)),"Not Mapped")</f>
        <v>South</v>
      </c>
      <c r="M5" t="str">
        <f>IF(F5&lt;&gt;"Active","",VLOOKUP(I5,'Rent Band Table'!$A$2:$B$5,2,TRUE))</f>
        <v>High</v>
      </c>
      <c r="N5">
        <f>IFERROR(IF(F5="Active",INDEX('Benchmark Rate Card'!$B$2:$G$4,MATCH('Portfolio Data (Modified)'!D5,'Benchmark Rate Card'!$A$2:$A$4,0),MATCH('Portfolio Data (Modified)'!C5,'Benchmark Rate Card'!$B$1:$G$1,0)),""),"")</f>
        <v>39</v>
      </c>
      <c r="O5" s="3" t="s">
        <v>187</v>
      </c>
      <c r="P5" t="s">
        <v>186</v>
      </c>
      <c r="Q5" s="17">
        <f t="shared" si="0"/>
        <v>39.409999999999997</v>
      </c>
      <c r="R5" t="str">
        <f>IF(F5="Active",_xlfn.IFS(Q5&gt;N5,"Above Benchmark",Q5&lt;=N5,"At/Below Benchmark"),"")</f>
        <v>Above Benchmark</v>
      </c>
      <c r="S5">
        <f ca="1">IFERROR(IF(F5="Active",DATEDIF(TODAY(),H5,"m"),""),"Expired")</f>
        <v>5</v>
      </c>
      <c r="T5" t="str">
        <f t="shared" ca="1" si="1"/>
        <v>Renewal Watch</v>
      </c>
      <c r="U5">
        <f t="shared" si="2"/>
        <v>7</v>
      </c>
      <c r="V5" t="str">
        <f ca="1">IF(F5&lt;&gt;"Active","",_xlfn.IFS(S5="Expired","Urgent",S5&lt;3,"Urgent",S5&lt;12,"Watch",S5&gt;=12,"OK"))</f>
        <v>Watch</v>
      </c>
    </row>
    <row r="6" spans="1:22" x14ac:dyDescent="0.35">
      <c r="A6" s="3" t="s">
        <v>31</v>
      </c>
      <c r="B6" s="3" t="s">
        <v>32</v>
      </c>
      <c r="C6" s="3" t="s">
        <v>33</v>
      </c>
      <c r="D6" s="3" t="s">
        <v>34</v>
      </c>
      <c r="E6" s="3">
        <v>31000</v>
      </c>
      <c r="F6" s="3" t="s">
        <v>14</v>
      </c>
      <c r="G6" s="13" t="s">
        <v>36</v>
      </c>
      <c r="H6" s="13" t="s">
        <v>37</v>
      </c>
      <c r="I6" s="16">
        <v>1320000</v>
      </c>
      <c r="J6">
        <f>COUNTIFS($B$2:$B$28,B6,$C$2:$C$28,C6,$G$2:$G$28,G6)</f>
        <v>1</v>
      </c>
      <c r="K6" s="8" t="str">
        <f>IFERROR(INDEX('City-State Lookup'!$B$2:$B$7,MATCH('Portfolio Data (Modified)'!C6,'City-State Lookup'!$A$2:$A$7,0)),"Not Mapped")</f>
        <v>Tamil Nadu</v>
      </c>
      <c r="L6" t="str">
        <f>IFERROR(INDEX('State-Region Lookup'!$B$2:$B$6,MATCH('Portfolio Data (Modified)'!K6,'State-Region Lookup'!$A$2:$A$6,0)),"Not Mapped")</f>
        <v>South</v>
      </c>
      <c r="M6" t="str">
        <f>IF(F6&lt;&gt;"Active","",VLOOKUP(I6,'Rent Band Table'!$A$2:$B$5,2,TRUE))</f>
        <v>Medium</v>
      </c>
      <c r="N6">
        <f>IFERROR(IF(F6="Active",INDEX('Benchmark Rate Card'!$B$2:$G$4,MATCH('Portfolio Data (Modified)'!D6,'Benchmark Rate Card'!$A$2:$A$4,0),MATCH('Portfolio Data (Modified)'!C6,'Benchmark Rate Card'!$B$1:$G$1,0)),""),"")</f>
        <v>47</v>
      </c>
      <c r="O6" s="3" t="s">
        <v>188</v>
      </c>
      <c r="P6" t="s">
        <v>189</v>
      </c>
      <c r="Q6" s="17">
        <f t="shared" si="0"/>
        <v>42.58</v>
      </c>
      <c r="R6" t="str">
        <f>IF(F6="Active",_xlfn.IFS(Q6&gt;N6,"Above Benchmark",Q6&lt;=N6,"At/Below Benchmark"),"")</f>
        <v>At/Below Benchmark</v>
      </c>
      <c r="S6">
        <f ca="1">IFERROR(IF(F6="Active",DATEDIF(TODAY(),H6,"m"),""),"Expired")</f>
        <v>29</v>
      </c>
      <c r="T6" t="str">
        <f t="shared" ca="1" si="1"/>
        <v/>
      </c>
      <c r="U6">
        <f t="shared" si="2"/>
        <v>20</v>
      </c>
      <c r="V6" t="str">
        <f ca="1">IF(F6&lt;&gt;"Active","",_xlfn.IFS(S6="Expired","Urgent",S6&lt;3,"Urgent",S6&lt;12,"Watch",S6&gt;=12,"OK"))</f>
        <v>OK</v>
      </c>
    </row>
    <row r="7" spans="1:22" x14ac:dyDescent="0.35">
      <c r="A7" s="3" t="s">
        <v>38</v>
      </c>
      <c r="B7" s="3" t="s">
        <v>32</v>
      </c>
      <c r="C7" s="3" t="s">
        <v>33</v>
      </c>
      <c r="D7" s="3" t="s">
        <v>34</v>
      </c>
      <c r="E7" s="3">
        <v>31000</v>
      </c>
      <c r="F7" s="3" t="s">
        <v>182</v>
      </c>
      <c r="G7" s="13"/>
      <c r="H7" s="13"/>
      <c r="I7" s="16"/>
      <c r="J7">
        <f>COUNTIFS($B$2:$B$28,B7,$C$2:$C$28,C7,$G$2:$G$28,G7)</f>
        <v>0</v>
      </c>
      <c r="K7" s="8" t="str">
        <f>IFERROR(INDEX('City-State Lookup'!$B$2:$B$7,MATCH('Portfolio Data (Modified)'!C7,'City-State Lookup'!$A$2:$A$7,0)),"Not Mapped")</f>
        <v>Tamil Nadu</v>
      </c>
      <c r="L7" t="str">
        <f>IFERROR(INDEX('State-Region Lookup'!$B$2:$B$6,MATCH('Portfolio Data (Modified)'!K7,'State-Region Lookup'!$A$2:$A$6,0)),"Not Mapped")</f>
        <v>South</v>
      </c>
      <c r="M7" t="str">
        <f>IF(F7&lt;&gt;"Active","",VLOOKUP(I7,'Rent Band Table'!$A$2:$B$5,2,TRUE))</f>
        <v/>
      </c>
      <c r="N7" t="str">
        <f>IFERROR(IF(F7="Active",INDEX('Benchmark Rate Card'!$B$2:$G$4,MATCH('Portfolio Data (Modified)'!D7,'Benchmark Rate Card'!$A$2:$A$4,0),MATCH('Portfolio Data (Modified)'!C7,'Benchmark Rate Card'!$B$1:$G$1,0)),""),"")</f>
        <v/>
      </c>
      <c r="O7" s="3"/>
      <c r="Q7" s="17" t="str">
        <f t="shared" si="0"/>
        <v/>
      </c>
      <c r="R7" t="str">
        <f>IF(F7="Active",_xlfn.IFS(Q7&gt;N7,"Above Benchmark",Q7&lt;=N7,"At/Below Benchmark"),"")</f>
        <v/>
      </c>
      <c r="S7" t="str">
        <f ca="1">IFERROR(IF(F7="Active",DATEDIF(TODAY(),H7,"m"),""),"Expired")</f>
        <v/>
      </c>
      <c r="T7" t="str">
        <f t="shared" ca="1" si="1"/>
        <v/>
      </c>
      <c r="U7" t="str">
        <f t="shared" si="2"/>
        <v/>
      </c>
      <c r="V7" t="str">
        <f>IF(F7&lt;&gt;"Active","",_xlfn.IFS(S7="Expired","Urgent",S7&lt;3,"Urgent",S7&lt;12,"Watch",S7&gt;=12,"OK"))</f>
        <v/>
      </c>
    </row>
    <row r="8" spans="1:22" x14ac:dyDescent="0.35">
      <c r="A8" s="3" t="s">
        <v>41</v>
      </c>
      <c r="B8" s="3" t="s">
        <v>42</v>
      </c>
      <c r="C8" s="3" t="s">
        <v>43</v>
      </c>
      <c r="D8" s="3" t="s">
        <v>44</v>
      </c>
      <c r="E8" s="3">
        <v>145000</v>
      </c>
      <c r="F8" s="3" t="s">
        <v>14</v>
      </c>
      <c r="G8" s="13" t="s">
        <v>46</v>
      </c>
      <c r="H8" s="13" t="s">
        <v>47</v>
      </c>
      <c r="I8" s="16">
        <v>3550000</v>
      </c>
      <c r="J8">
        <f>COUNTIFS($B$2:$B$28,B8,$C$2:$C$28,C8,$G$2:$G$28,G8)</f>
        <v>2</v>
      </c>
      <c r="K8" s="8" t="str">
        <f>IFERROR(INDEX('City-State Lookup'!$B$2:$B$7,MATCH('Portfolio Data (Modified)'!C8,'City-State Lookup'!$A$2:$A$7,0)),"Not Mapped")</f>
        <v>Maharashtra</v>
      </c>
      <c r="L8" t="str">
        <f>IFERROR(INDEX('State-Region Lookup'!$B$2:$B$6,MATCH('Portfolio Data (Modified)'!K8,'State-Region Lookup'!$A$2:$A$6,0)),"Not Mapped")</f>
        <v>West</v>
      </c>
      <c r="M8" t="str">
        <f>IF(F8&lt;&gt;"Active","",VLOOKUP(I8,'Rent Band Table'!$A$2:$B$5,2,TRUE))</f>
        <v>Premium</v>
      </c>
      <c r="N8">
        <f>IFERROR(IF(F8="Active",INDEX('Benchmark Rate Card'!$B$2:$G$4,MATCH('Portfolio Data (Modified)'!D8,'Benchmark Rate Card'!$A$2:$A$4,0),MATCH('Portfolio Data (Modified)'!C8,'Benchmark Rate Card'!$B$1:$G$1,0)),""),"")</f>
        <v>28</v>
      </c>
      <c r="O8" s="3" t="s">
        <v>190</v>
      </c>
      <c r="P8" t="s">
        <v>191</v>
      </c>
      <c r="Q8" s="17">
        <f t="shared" si="0"/>
        <v>24.48</v>
      </c>
      <c r="R8" t="str">
        <f>IF(F8="Active",_xlfn.IFS(Q8&gt;N8,"Above Benchmark",Q8&lt;=N8,"At/Below Benchmark"),"")</f>
        <v>At/Below Benchmark</v>
      </c>
      <c r="S8" t="str">
        <f ca="1">IFERROR(IF(F8="Active",DATEDIF(TODAY(),H8,"m"),""),"Expired")</f>
        <v>Expired</v>
      </c>
      <c r="T8" t="str">
        <f t="shared" ca="1" si="1"/>
        <v>Renewal Watch</v>
      </c>
      <c r="U8">
        <f t="shared" si="2"/>
        <v>1</v>
      </c>
      <c r="V8" t="str">
        <f ca="1">IF(F8&lt;&gt;"Active","",_xlfn.IFS(S8="Expired","Urgent",S8&lt;3,"Urgent",S8&lt;12,"Watch",S8&gt;=12,"OK"))</f>
        <v>Urgent</v>
      </c>
    </row>
    <row r="9" spans="1:22" x14ac:dyDescent="0.35">
      <c r="A9" s="3" t="s">
        <v>48</v>
      </c>
      <c r="B9" s="3" t="s">
        <v>42</v>
      </c>
      <c r="C9" s="3" t="s">
        <v>43</v>
      </c>
      <c r="D9" s="3" t="s">
        <v>44</v>
      </c>
      <c r="E9" s="3">
        <v>145000</v>
      </c>
      <c r="F9" s="3" t="s">
        <v>14</v>
      </c>
      <c r="G9" s="13" t="s">
        <v>46</v>
      </c>
      <c r="H9" s="13" t="s">
        <v>47</v>
      </c>
      <c r="I9" s="16">
        <v>3550000</v>
      </c>
      <c r="J9">
        <f>COUNTIFS($B$2:$B$28,B9,$C$2:$C$28,C9,$G$2:$G$28,G9)</f>
        <v>2</v>
      </c>
      <c r="K9" s="8" t="str">
        <f>IFERROR(INDEX('City-State Lookup'!$B$2:$B$7,MATCH('Portfolio Data (Modified)'!C9,'City-State Lookup'!$A$2:$A$7,0)),"Not Mapped")</f>
        <v>Maharashtra</v>
      </c>
      <c r="L9" t="str">
        <f>IFERROR(INDEX('State-Region Lookup'!$B$2:$B$6,MATCH('Portfolio Data (Modified)'!K9,'State-Region Lookup'!$A$2:$A$6,0)),"Not Mapped")</f>
        <v>West</v>
      </c>
      <c r="M9" t="str">
        <f>IF(F9&lt;&gt;"Active","",VLOOKUP(I9,'Rent Band Table'!$A$2:$B$5,2,TRUE))</f>
        <v>Premium</v>
      </c>
      <c r="N9">
        <f>IFERROR(IF(F9="Active",INDEX('Benchmark Rate Card'!$B$2:$G$4,MATCH('Portfolio Data (Modified)'!D9,'Benchmark Rate Card'!$A$2:$A$4,0),MATCH('Portfolio Data (Modified)'!C9,'Benchmark Rate Card'!$B$1:$G$1,0)),""),"")</f>
        <v>28</v>
      </c>
      <c r="O9" s="3" t="s">
        <v>190</v>
      </c>
      <c r="P9" t="s">
        <v>191</v>
      </c>
      <c r="Q9" s="17">
        <f t="shared" si="0"/>
        <v>24.48</v>
      </c>
      <c r="R9" t="str">
        <f>IF(F9="Active",_xlfn.IFS(Q9&gt;N9,"Above Benchmark",Q9&lt;=N9,"At/Below Benchmark"),"")</f>
        <v>At/Below Benchmark</v>
      </c>
      <c r="S9" t="str">
        <f ca="1">IFERROR(IF(F9="Active",DATEDIF(TODAY(),H9,"m"),""),"Expired")</f>
        <v>Expired</v>
      </c>
      <c r="T9" t="str">
        <f t="shared" ca="1" si="1"/>
        <v>Renewal Watch</v>
      </c>
      <c r="U9">
        <f t="shared" si="2"/>
        <v>1</v>
      </c>
      <c r="V9" t="str">
        <f ca="1">IF(F9&lt;&gt;"Active","",_xlfn.IFS(S9="Expired","Urgent",S9&lt;3,"Urgent",S9&lt;12,"Watch",S9&gt;=12,"OK"))</f>
        <v>Urgent</v>
      </c>
    </row>
    <row r="10" spans="1:22" x14ac:dyDescent="0.35">
      <c r="A10" s="3" t="s">
        <v>50</v>
      </c>
      <c r="B10" s="3" t="s">
        <v>51</v>
      </c>
      <c r="C10" s="3" t="s">
        <v>52</v>
      </c>
      <c r="D10" s="3" t="s">
        <v>13</v>
      </c>
      <c r="E10" s="3">
        <v>47000</v>
      </c>
      <c r="F10" s="3" t="s">
        <v>14</v>
      </c>
      <c r="G10" s="13" t="s">
        <v>54</v>
      </c>
      <c r="H10" s="13" t="s">
        <v>55</v>
      </c>
      <c r="I10" s="16">
        <v>1890000</v>
      </c>
      <c r="J10">
        <f>COUNTIFS($B$2:$B$28,B10,$C$2:$C$28,C10,$G$2:$G$28,G10)</f>
        <v>2</v>
      </c>
      <c r="K10" s="8" t="str">
        <f>IFERROR(INDEX('City-State Lookup'!$B$2:$B$7,MATCH('Portfolio Data (Modified)'!C10,'City-State Lookup'!$A$2:$A$7,0)),"Not Mapped")</f>
        <v>Maharashtra</v>
      </c>
      <c r="L10" t="str">
        <f>IFERROR(INDEX('State-Region Lookup'!$B$2:$B$6,MATCH('Portfolio Data (Modified)'!K10,'State-Region Lookup'!$A$2:$A$6,0)),"Not Mapped")</f>
        <v>West</v>
      </c>
      <c r="M10" t="str">
        <f>IF(F10&lt;&gt;"Active","",VLOOKUP(I10,'Rent Band Table'!$A$2:$B$5,2,TRUE))</f>
        <v>Medium</v>
      </c>
      <c r="N10">
        <f>IFERROR(IF(F10="Active",INDEX('Benchmark Rate Card'!$B$2:$G$4,MATCH('Portfolio Data (Modified)'!D10,'Benchmark Rate Card'!$A$2:$A$4,0),MATCH('Portfolio Data (Modified)'!C10,'Benchmark Rate Card'!$B$1:$G$1,0)),""),"")</f>
        <v>43</v>
      </c>
      <c r="O10" s="3" t="s">
        <v>192</v>
      </c>
      <c r="P10" t="s">
        <v>186</v>
      </c>
      <c r="Q10" s="17">
        <f t="shared" si="0"/>
        <v>40.21</v>
      </c>
      <c r="R10" t="str">
        <f>IF(F10="Active",_xlfn.IFS(Q10&gt;N10,"Above Benchmark",Q10&lt;=N10,"At/Below Benchmark"),"")</f>
        <v>At/Below Benchmark</v>
      </c>
      <c r="S10">
        <f ca="1">IFERROR(IF(F10="Active",DATEDIF(TODAY(),H10,"m"),""),"Expired")</f>
        <v>8</v>
      </c>
      <c r="T10" t="str">
        <f t="shared" ca="1" si="1"/>
        <v>Renewal Watch</v>
      </c>
      <c r="U10">
        <f t="shared" si="2"/>
        <v>16</v>
      </c>
      <c r="V10" t="str">
        <f ca="1">IF(F10&lt;&gt;"Active","",_xlfn.IFS(S10="Expired","Urgent",S10&lt;3,"Urgent",S10&lt;12,"Watch",S10&gt;=12,"OK"))</f>
        <v>Watch</v>
      </c>
    </row>
    <row r="11" spans="1:22" x14ac:dyDescent="0.35">
      <c r="A11" s="3" t="s">
        <v>56</v>
      </c>
      <c r="B11" s="3" t="s">
        <v>51</v>
      </c>
      <c r="C11" s="3" t="s">
        <v>52</v>
      </c>
      <c r="D11" s="3" t="s">
        <v>13</v>
      </c>
      <c r="E11" s="3">
        <v>47000</v>
      </c>
      <c r="F11" s="3" t="s">
        <v>14</v>
      </c>
      <c r="G11" s="13" t="s">
        <v>54</v>
      </c>
      <c r="H11" s="13" t="s">
        <v>55</v>
      </c>
      <c r="I11" s="16">
        <v>1890000</v>
      </c>
      <c r="J11">
        <f>COUNTIFS($B$2:$B$28,B11,$C$2:$C$28,C11,$G$2:$G$28,G11)</f>
        <v>2</v>
      </c>
      <c r="K11" s="8" t="str">
        <f>IFERROR(INDEX('City-State Lookup'!$B$2:$B$7,MATCH('Portfolio Data (Modified)'!C11,'City-State Lookup'!$A$2:$A$7,0)),"Not Mapped")</f>
        <v>Maharashtra</v>
      </c>
      <c r="L11" t="str">
        <f>IFERROR(INDEX('State-Region Lookup'!$B$2:$B$6,MATCH('Portfolio Data (Modified)'!K11,'State-Region Lookup'!$A$2:$A$6,0)),"Not Mapped")</f>
        <v>West</v>
      </c>
      <c r="M11" t="str">
        <f>IF(F11&lt;&gt;"Active","",VLOOKUP(I11,'Rent Band Table'!$A$2:$B$5,2,TRUE))</f>
        <v>Medium</v>
      </c>
      <c r="N11">
        <f>IFERROR(IF(F11="Active",INDEX('Benchmark Rate Card'!$B$2:$G$4,MATCH('Portfolio Data (Modified)'!D11,'Benchmark Rate Card'!$A$2:$A$4,0),MATCH('Portfolio Data (Modified)'!C11,'Benchmark Rate Card'!$B$1:$G$1,0)),""),"")</f>
        <v>43</v>
      </c>
      <c r="O11" s="3" t="s">
        <v>192</v>
      </c>
      <c r="P11" t="s">
        <v>186</v>
      </c>
      <c r="Q11" s="17">
        <f t="shared" si="0"/>
        <v>40.21</v>
      </c>
      <c r="R11" t="str">
        <f>IF(F11="Active",_xlfn.IFS(Q11&gt;N11,"Above Benchmark",Q11&lt;=N11,"At/Below Benchmark"),"")</f>
        <v>At/Below Benchmark</v>
      </c>
      <c r="S11">
        <f ca="1">IFERROR(IF(F11="Active",DATEDIF(TODAY(),H11,"m"),""),"Expired")</f>
        <v>8</v>
      </c>
      <c r="T11" t="str">
        <f t="shared" ca="1" si="1"/>
        <v>Renewal Watch</v>
      </c>
      <c r="U11">
        <f t="shared" si="2"/>
        <v>16</v>
      </c>
      <c r="V11" t="str">
        <f ca="1">IF(F11&lt;&gt;"Active","",_xlfn.IFS(S11="Expired","Urgent",S11&lt;3,"Urgent",S11&lt;12,"Watch",S11&gt;=12,"OK"))</f>
        <v>Watch</v>
      </c>
    </row>
    <row r="12" spans="1:22" x14ac:dyDescent="0.35">
      <c r="A12" s="3" t="s">
        <v>58</v>
      </c>
      <c r="B12" s="3" t="s">
        <v>59</v>
      </c>
      <c r="C12" s="3" t="s">
        <v>19</v>
      </c>
      <c r="D12" s="3" t="s">
        <v>34</v>
      </c>
      <c r="E12" s="3">
        <v>24000</v>
      </c>
      <c r="F12" s="3" t="s">
        <v>14</v>
      </c>
      <c r="G12" s="13" t="s">
        <v>61</v>
      </c>
      <c r="H12" s="13" t="s">
        <v>62</v>
      </c>
      <c r="I12" s="16">
        <v>990000</v>
      </c>
      <c r="J12">
        <f>COUNTIFS($B$2:$B$28,B12,$C$2:$C$28,C12,$G$2:$G$28,G12)</f>
        <v>1</v>
      </c>
      <c r="K12" s="8" t="str">
        <f>IFERROR(INDEX('City-State Lookup'!$B$2:$B$7,MATCH('Portfolio Data (Modified)'!C12,'City-State Lookup'!$A$2:$A$7,0)),"Not Mapped")</f>
        <v>Karnataka</v>
      </c>
      <c r="L12" t="str">
        <f>IFERROR(INDEX('State-Region Lookup'!$B$2:$B$6,MATCH('Portfolio Data (Modified)'!K12,'State-Region Lookup'!$A$2:$A$6,0)),"Not Mapped")</f>
        <v>South</v>
      </c>
      <c r="M12" t="str">
        <f>IF(F12&lt;&gt;"Active","",VLOOKUP(I12,'Rent Band Table'!$A$2:$B$5,2,TRUE))</f>
        <v>Low</v>
      </c>
      <c r="N12">
        <f>IFERROR(IF(F12="Active",INDEX('Benchmark Rate Card'!$B$2:$G$4,MATCH('Portfolio Data (Modified)'!D12,'Benchmark Rate Card'!$A$2:$A$4,0),MATCH('Portfolio Data (Modified)'!C12,'Benchmark Rate Card'!$B$1:$G$1,0)),""),"")</f>
        <v>46</v>
      </c>
      <c r="O12" s="3" t="s">
        <v>193</v>
      </c>
      <c r="P12" t="s">
        <v>194</v>
      </c>
      <c r="Q12" s="17">
        <f t="shared" si="0"/>
        <v>41.25</v>
      </c>
      <c r="R12" t="str">
        <f>IF(F12="Active",_xlfn.IFS(Q12&gt;N12,"Above Benchmark",Q12&lt;=N12,"At/Below Benchmark"),"")</f>
        <v>At/Below Benchmark</v>
      </c>
      <c r="S12">
        <f ca="1">IFERROR(IF(F12="Active",DATEDIF(TODAY(),H12,"m"),""),"Expired")</f>
        <v>15</v>
      </c>
      <c r="T12" t="str">
        <f t="shared" ca="1" si="1"/>
        <v/>
      </c>
      <c r="U12">
        <f t="shared" si="2"/>
        <v>22</v>
      </c>
      <c r="V12" t="str">
        <f ca="1">IF(F12&lt;&gt;"Active","",_xlfn.IFS(S12="Expired","Urgent",S12&lt;3,"Urgent",S12&lt;12,"Watch",S12&gt;=12,"OK"))</f>
        <v>OK</v>
      </c>
    </row>
    <row r="13" spans="1:22" x14ac:dyDescent="0.35">
      <c r="A13" s="3" t="s">
        <v>63</v>
      </c>
      <c r="B13" s="3" t="s">
        <v>59</v>
      </c>
      <c r="C13" s="3" t="s">
        <v>19</v>
      </c>
      <c r="D13" s="3" t="s">
        <v>34</v>
      </c>
      <c r="E13" s="3">
        <v>24000</v>
      </c>
      <c r="F13" s="3" t="s">
        <v>182</v>
      </c>
      <c r="G13" s="13"/>
      <c r="H13" s="13"/>
      <c r="I13" s="16"/>
      <c r="J13">
        <f>COUNTIFS($B$2:$B$28,B13,$C$2:$C$28,C13,$G$2:$G$28,G13)</f>
        <v>0</v>
      </c>
      <c r="K13" s="8" t="str">
        <f>IFERROR(INDEX('City-State Lookup'!$B$2:$B$7,MATCH('Portfolio Data (Modified)'!C13,'City-State Lookup'!$A$2:$A$7,0)),"Not Mapped")</f>
        <v>Karnataka</v>
      </c>
      <c r="L13" t="str">
        <f>IFERROR(INDEX('State-Region Lookup'!$B$2:$B$6,MATCH('Portfolio Data (Modified)'!K13,'State-Region Lookup'!$A$2:$A$6,0)),"Not Mapped")</f>
        <v>South</v>
      </c>
      <c r="M13" t="str">
        <f>IF(F13&lt;&gt;"Active","",VLOOKUP(I13,'Rent Band Table'!$A$2:$B$5,2,TRUE))</f>
        <v/>
      </c>
      <c r="N13" t="str">
        <f>IFERROR(IF(F13="Active",INDEX('Benchmark Rate Card'!$B$2:$G$4,MATCH('Portfolio Data (Modified)'!D13,'Benchmark Rate Card'!$A$2:$A$4,0),MATCH('Portfolio Data (Modified)'!C13,'Benchmark Rate Card'!$B$1:$G$1,0)),""),"")</f>
        <v/>
      </c>
      <c r="O13" s="3"/>
      <c r="Q13" s="17" t="str">
        <f t="shared" si="0"/>
        <v/>
      </c>
      <c r="R13" t="str">
        <f>IF(F13="Active",_xlfn.IFS(Q13&gt;N13,"Above Benchmark",Q13&lt;=N13,"At/Below Benchmark"),"")</f>
        <v/>
      </c>
      <c r="S13" t="str">
        <f ca="1">IFERROR(IF(F13="Active",DATEDIF(TODAY(),H13,"m"),""),"Expired")</f>
        <v/>
      </c>
      <c r="T13" t="str">
        <f t="shared" ca="1" si="1"/>
        <v/>
      </c>
      <c r="U13" t="str">
        <f t="shared" si="2"/>
        <v/>
      </c>
      <c r="V13" t="str">
        <f>IF(F13&lt;&gt;"Active","",_xlfn.IFS(S13="Expired","Urgent",S13&lt;3,"Urgent",S13&lt;12,"Watch",S13&gt;=12,"OK"))</f>
        <v/>
      </c>
    </row>
    <row r="14" spans="1:22" x14ac:dyDescent="0.35">
      <c r="A14" s="3" t="s">
        <v>64</v>
      </c>
      <c r="B14" s="3" t="s">
        <v>65</v>
      </c>
      <c r="C14" s="3" t="s">
        <v>66</v>
      </c>
      <c r="D14" s="3" t="s">
        <v>44</v>
      </c>
      <c r="E14" s="3">
        <v>112000</v>
      </c>
      <c r="F14" s="3" t="s">
        <v>14</v>
      </c>
      <c r="G14" s="13" t="s">
        <v>68</v>
      </c>
      <c r="H14" s="13" t="s">
        <v>69</v>
      </c>
      <c r="I14" s="16">
        <v>2980000</v>
      </c>
      <c r="J14">
        <f>COUNTIFS($B$2:$B$28,B14,$C$2:$C$28,C14,$G$2:$G$28,G14)</f>
        <v>2</v>
      </c>
      <c r="K14" s="8" t="str">
        <f>IFERROR(INDEX('City-State Lookup'!$B$2:$B$7,MATCH('Portfolio Data (Modified)'!C14,'City-State Lookup'!$A$2:$A$7,0)),"Not Mapped")</f>
        <v>Delhi NCR</v>
      </c>
      <c r="L14" t="str">
        <f>IFERROR(INDEX('State-Region Lookup'!$B$2:$B$6,MATCH('Portfolio Data (Modified)'!K14,'State-Region Lookup'!$A$2:$A$6,0)),"Not Mapped")</f>
        <v>North</v>
      </c>
      <c r="M14" t="str">
        <f>IF(F14&lt;&gt;"Active","",VLOOKUP(I14,'Rent Band Table'!$A$2:$B$5,2,TRUE))</f>
        <v>High</v>
      </c>
      <c r="N14">
        <f>IFERROR(IF(F14="Active",INDEX('Benchmark Rate Card'!$B$2:$G$4,MATCH('Portfolio Data (Modified)'!D14,'Benchmark Rate Card'!$A$2:$A$4,0),MATCH('Portfolio Data (Modified)'!C14,'Benchmark Rate Card'!$B$1:$G$1,0)),""),"")</f>
        <v>26</v>
      </c>
      <c r="O14" s="3" t="s">
        <v>195</v>
      </c>
      <c r="P14" t="s">
        <v>191</v>
      </c>
      <c r="Q14" s="17">
        <f t="shared" si="0"/>
        <v>26.61</v>
      </c>
      <c r="R14" t="str">
        <f>IF(F14="Active",_xlfn.IFS(Q14&gt;N14,"Above Benchmark",Q14&lt;=N14,"At/Below Benchmark"),"")</f>
        <v>Above Benchmark</v>
      </c>
      <c r="S14" t="str">
        <f ca="1">IFERROR(IF(F14="Active",DATEDIF(TODAY(),H14,"m"),""),"Expired")</f>
        <v>Expired</v>
      </c>
      <c r="T14" t="str">
        <f t="shared" ca="1" si="1"/>
        <v>Renewal Watch</v>
      </c>
      <c r="U14">
        <f t="shared" si="2"/>
        <v>5</v>
      </c>
      <c r="V14" t="str">
        <f ca="1">IF(F14&lt;&gt;"Active","",_xlfn.IFS(S14="Expired","Urgent",S14&lt;3,"Urgent",S14&lt;12,"Watch",S14&gt;=12,"OK"))</f>
        <v>Urgent</v>
      </c>
    </row>
    <row r="15" spans="1:22" x14ac:dyDescent="0.35">
      <c r="A15" s="3" t="s">
        <v>70</v>
      </c>
      <c r="B15" s="3" t="s">
        <v>65</v>
      </c>
      <c r="C15" s="3" t="s">
        <v>66</v>
      </c>
      <c r="D15" s="3" t="s">
        <v>44</v>
      </c>
      <c r="E15" s="3">
        <v>112000</v>
      </c>
      <c r="F15" s="3" t="s">
        <v>14</v>
      </c>
      <c r="G15" s="13" t="s">
        <v>68</v>
      </c>
      <c r="H15" s="13" t="s">
        <v>69</v>
      </c>
      <c r="I15" s="16">
        <v>2980000</v>
      </c>
      <c r="J15">
        <f>COUNTIFS($B$2:$B$28,B15,$C$2:$C$28,C15,$G$2:$G$28,G15)</f>
        <v>2</v>
      </c>
      <c r="K15" s="8" t="str">
        <f>IFERROR(INDEX('City-State Lookup'!$B$2:$B$7,MATCH('Portfolio Data (Modified)'!C15,'City-State Lookup'!$A$2:$A$7,0)),"Not Mapped")</f>
        <v>Delhi NCR</v>
      </c>
      <c r="L15" t="str">
        <f>IFERROR(INDEX('State-Region Lookup'!$B$2:$B$6,MATCH('Portfolio Data (Modified)'!K15,'State-Region Lookup'!$A$2:$A$6,0)),"Not Mapped")</f>
        <v>North</v>
      </c>
      <c r="M15" t="str">
        <f>IF(F15&lt;&gt;"Active","",VLOOKUP(I15,'Rent Band Table'!$A$2:$B$5,2,TRUE))</f>
        <v>High</v>
      </c>
      <c r="N15">
        <f>IFERROR(IF(F15="Active",INDEX('Benchmark Rate Card'!$B$2:$G$4,MATCH('Portfolio Data (Modified)'!D15,'Benchmark Rate Card'!$A$2:$A$4,0),MATCH('Portfolio Data (Modified)'!C15,'Benchmark Rate Card'!$B$1:$G$1,0)),""),"")</f>
        <v>26</v>
      </c>
      <c r="O15" s="3" t="s">
        <v>195</v>
      </c>
      <c r="P15" t="s">
        <v>191</v>
      </c>
      <c r="Q15" s="17">
        <f t="shared" si="0"/>
        <v>26.61</v>
      </c>
      <c r="R15" t="str">
        <f>IF(F15="Active",_xlfn.IFS(Q15&gt;N15,"Above Benchmark",Q15&lt;=N15,"At/Below Benchmark"),"")</f>
        <v>Above Benchmark</v>
      </c>
      <c r="S15" t="str">
        <f ca="1">IFERROR(IF(F15="Active",DATEDIF(TODAY(),H15,"m"),""),"Expired")</f>
        <v>Expired</v>
      </c>
      <c r="T15" t="str">
        <f t="shared" ca="1" si="1"/>
        <v>Renewal Watch</v>
      </c>
      <c r="U15">
        <f t="shared" si="2"/>
        <v>5</v>
      </c>
      <c r="V15" t="str">
        <f ca="1">IF(F15&lt;&gt;"Active","",_xlfn.IFS(S15="Expired","Urgent",S15&lt;3,"Urgent",S15&lt;12,"Watch",S15&gt;=12,"OK"))</f>
        <v>Urgent</v>
      </c>
    </row>
    <row r="16" spans="1:22" x14ac:dyDescent="0.35">
      <c r="A16" s="3" t="s">
        <v>73</v>
      </c>
      <c r="B16" s="3" t="s">
        <v>74</v>
      </c>
      <c r="C16" s="3" t="s">
        <v>28</v>
      </c>
      <c r="D16" s="3" t="s">
        <v>13</v>
      </c>
      <c r="E16" s="3">
        <v>81000</v>
      </c>
      <c r="F16" s="3" t="s">
        <v>14</v>
      </c>
      <c r="G16" s="13" t="s">
        <v>77</v>
      </c>
      <c r="H16" s="13" t="s">
        <v>78</v>
      </c>
      <c r="I16" s="16">
        <v>3120000</v>
      </c>
      <c r="J16">
        <f>COUNTIFS($B$2:$B$28,B16,$C$2:$C$28,C16,$G$2:$G$28,G16)</f>
        <v>2</v>
      </c>
      <c r="K16" s="8" t="str">
        <f>IFERROR(INDEX('City-State Lookup'!$B$2:$B$7,MATCH('Portfolio Data (Modified)'!C16,'City-State Lookup'!$A$2:$A$7,0)),"Not Mapped")</f>
        <v>Telangana</v>
      </c>
      <c r="L16" t="str">
        <f>IFERROR(INDEX('State-Region Lookup'!$B$2:$B$6,MATCH('Portfolio Data (Modified)'!K16,'State-Region Lookup'!$A$2:$A$6,0)),"Not Mapped")</f>
        <v>South</v>
      </c>
      <c r="M16" t="str">
        <f>IF(F16&lt;&gt;"Active","",VLOOKUP(I16,'Rent Band Table'!$A$2:$B$5,2,TRUE))</f>
        <v>Premium</v>
      </c>
      <c r="N16">
        <f>IFERROR(IF(F16="Active",INDEX('Benchmark Rate Card'!$B$2:$G$4,MATCH('Portfolio Data (Modified)'!D16,'Benchmark Rate Card'!$A$2:$A$4,0),MATCH('Portfolio Data (Modified)'!C16,'Benchmark Rate Card'!$B$1:$G$1,0)),""),"")</f>
        <v>39</v>
      </c>
      <c r="O16" s="3" t="s">
        <v>196</v>
      </c>
      <c r="P16" t="s">
        <v>186</v>
      </c>
      <c r="Q16" s="17">
        <f t="shared" si="0"/>
        <v>38.520000000000003</v>
      </c>
      <c r="R16" t="str">
        <f>IF(F16="Active",_xlfn.IFS(Q16&gt;N16,"Above Benchmark",Q16&lt;=N16,"At/Below Benchmark"),"")</f>
        <v>At/Below Benchmark</v>
      </c>
      <c r="S16">
        <f ca="1">IFERROR(IF(F16="Active",DATEDIF(TODAY(),H16,"m"),""),"Expired")</f>
        <v>35</v>
      </c>
      <c r="T16" t="str">
        <f t="shared" ca="1" si="1"/>
        <v/>
      </c>
      <c r="U16">
        <f t="shared" si="2"/>
        <v>3</v>
      </c>
      <c r="V16" t="str">
        <f ca="1">IF(F16&lt;&gt;"Active","",_xlfn.IFS(S16="Expired","Urgent",S16&lt;3,"Urgent",S16&lt;12,"Watch",S16&gt;=12,"OK"))</f>
        <v>OK</v>
      </c>
    </row>
    <row r="17" spans="1:22" x14ac:dyDescent="0.35">
      <c r="A17" s="3" t="s">
        <v>79</v>
      </c>
      <c r="B17" s="3" t="s">
        <v>74</v>
      </c>
      <c r="C17" s="3" t="s">
        <v>28</v>
      </c>
      <c r="D17" s="3" t="s">
        <v>13</v>
      </c>
      <c r="E17" s="3">
        <v>81000</v>
      </c>
      <c r="F17" s="3" t="s">
        <v>14</v>
      </c>
      <c r="G17" s="13" t="s">
        <v>77</v>
      </c>
      <c r="H17" s="13" t="s">
        <v>78</v>
      </c>
      <c r="I17" s="16">
        <v>3120000</v>
      </c>
      <c r="J17">
        <f>COUNTIFS($B$2:$B$28,B17,$C$2:$C$28,C17,$G$2:$G$28,G17)</f>
        <v>2</v>
      </c>
      <c r="K17" s="8" t="str">
        <f>IFERROR(INDEX('City-State Lookup'!$B$2:$B$7,MATCH('Portfolio Data (Modified)'!C17,'City-State Lookup'!$A$2:$A$7,0)),"Not Mapped")</f>
        <v>Telangana</v>
      </c>
      <c r="L17" t="str">
        <f>IFERROR(INDEX('State-Region Lookup'!$B$2:$B$6,MATCH('Portfolio Data (Modified)'!K17,'State-Region Lookup'!$A$2:$A$6,0)),"Not Mapped")</f>
        <v>South</v>
      </c>
      <c r="M17" t="str">
        <f>IF(F17&lt;&gt;"Active","",VLOOKUP(I17,'Rent Band Table'!$A$2:$B$5,2,TRUE))</f>
        <v>Premium</v>
      </c>
      <c r="N17">
        <f>IFERROR(IF(F17="Active",INDEX('Benchmark Rate Card'!$B$2:$G$4,MATCH('Portfolio Data (Modified)'!D17,'Benchmark Rate Card'!$A$2:$A$4,0),MATCH('Portfolio Data (Modified)'!C17,'Benchmark Rate Card'!$B$1:$G$1,0)),""),"")</f>
        <v>39</v>
      </c>
      <c r="O17" s="3" t="s">
        <v>196</v>
      </c>
      <c r="P17" t="s">
        <v>186</v>
      </c>
      <c r="Q17" s="17">
        <f t="shared" si="0"/>
        <v>38.520000000000003</v>
      </c>
      <c r="R17" t="str">
        <f>IF(F17="Active",_xlfn.IFS(Q17&gt;N17,"Above Benchmark",Q17&lt;=N17,"At/Below Benchmark"),"")</f>
        <v>At/Below Benchmark</v>
      </c>
      <c r="S17">
        <f ca="1">IFERROR(IF(F17="Active",DATEDIF(TODAY(),H17,"m"),""),"Expired")</f>
        <v>35</v>
      </c>
      <c r="T17" t="str">
        <f t="shared" ca="1" si="1"/>
        <v/>
      </c>
      <c r="U17">
        <f t="shared" si="2"/>
        <v>3</v>
      </c>
      <c r="V17" t="str">
        <f ca="1">IF(F17&lt;&gt;"Active","",_xlfn.IFS(S17="Expired","Urgent",S17&lt;3,"Urgent",S17&lt;12,"Watch",S17&gt;=12,"OK"))</f>
        <v>OK</v>
      </c>
    </row>
    <row r="18" spans="1:22" x14ac:dyDescent="0.35">
      <c r="A18" s="3" t="s">
        <v>80</v>
      </c>
      <c r="B18" s="3" t="s">
        <v>81</v>
      </c>
      <c r="C18" s="3" t="s">
        <v>33</v>
      </c>
      <c r="D18" s="3" t="s">
        <v>34</v>
      </c>
      <c r="E18" s="3">
        <v>19500</v>
      </c>
      <c r="F18" s="3" t="s">
        <v>14</v>
      </c>
      <c r="G18" s="13" t="s">
        <v>83</v>
      </c>
      <c r="H18" s="13" t="s">
        <v>84</v>
      </c>
      <c r="I18" s="16">
        <v>870000</v>
      </c>
      <c r="J18">
        <f>COUNTIFS($B$2:$B$28,B18,$C$2:$C$28,C18,$G$2:$G$28,G18)</f>
        <v>2</v>
      </c>
      <c r="K18" s="8" t="str">
        <f>IFERROR(INDEX('City-State Lookup'!$B$2:$B$7,MATCH('Portfolio Data (Modified)'!C18,'City-State Lookup'!$A$2:$A$7,0)),"Not Mapped")</f>
        <v>Tamil Nadu</v>
      </c>
      <c r="L18" t="str">
        <f>IFERROR(INDEX('State-Region Lookup'!$B$2:$B$6,MATCH('Portfolio Data (Modified)'!K18,'State-Region Lookup'!$A$2:$A$6,0)),"Not Mapped")</f>
        <v>South</v>
      </c>
      <c r="M18" t="str">
        <f>IF(F18&lt;&gt;"Active","",VLOOKUP(I18,'Rent Band Table'!$A$2:$B$5,2,TRUE))</f>
        <v>Low</v>
      </c>
      <c r="N18">
        <f>IFERROR(IF(F18="Active",INDEX('Benchmark Rate Card'!$B$2:$G$4,MATCH('Portfolio Data (Modified)'!D18,'Benchmark Rate Card'!$A$2:$A$4,0),MATCH('Portfolio Data (Modified)'!C18,'Benchmark Rate Card'!$B$1:$G$1,0)),""),"")</f>
        <v>47</v>
      </c>
      <c r="O18" s="3" t="s">
        <v>197</v>
      </c>
      <c r="P18" t="s">
        <v>189</v>
      </c>
      <c r="Q18" s="17">
        <f t="shared" si="0"/>
        <v>44.62</v>
      </c>
      <c r="R18" t="str">
        <f>IF(F18="Active",_xlfn.IFS(Q18&gt;N18,"Above Benchmark",Q18&lt;=N18,"At/Below Benchmark"),"")</f>
        <v>At/Below Benchmark</v>
      </c>
      <c r="S18">
        <f ca="1">IFERROR(IF(F18="Active",DATEDIF(TODAY(),H18,"m"),""),"Expired")</f>
        <v>3</v>
      </c>
      <c r="T18" t="str">
        <f t="shared" ca="1" si="1"/>
        <v>Renewal Watch</v>
      </c>
      <c r="U18">
        <f t="shared" si="2"/>
        <v>23</v>
      </c>
      <c r="V18" t="str">
        <f ca="1">IF(F18&lt;&gt;"Active","",_xlfn.IFS(S18="Expired","Urgent",S18&lt;3,"Urgent",S18&lt;12,"Watch",S18&gt;=12,"OK"))</f>
        <v>Watch</v>
      </c>
    </row>
    <row r="19" spans="1:22" x14ac:dyDescent="0.35">
      <c r="A19" s="3" t="s">
        <v>85</v>
      </c>
      <c r="B19" s="3" t="s">
        <v>81</v>
      </c>
      <c r="C19" s="3" t="s">
        <v>33</v>
      </c>
      <c r="D19" s="3" t="s">
        <v>34</v>
      </c>
      <c r="E19" s="3">
        <v>19500</v>
      </c>
      <c r="F19" s="3" t="s">
        <v>14</v>
      </c>
      <c r="G19" s="13" t="s">
        <v>83</v>
      </c>
      <c r="H19" s="13" t="s">
        <v>84</v>
      </c>
      <c r="I19" s="16">
        <v>870000</v>
      </c>
      <c r="J19">
        <f>COUNTIFS($B$2:$B$28,B19,$C$2:$C$28,C19,$G$2:$G$28,G19)</f>
        <v>2</v>
      </c>
      <c r="K19" s="8" t="str">
        <f>IFERROR(INDEX('City-State Lookup'!$B$2:$B$7,MATCH('Portfolio Data (Modified)'!C19,'City-State Lookup'!$A$2:$A$7,0)),"Not Mapped")</f>
        <v>Tamil Nadu</v>
      </c>
      <c r="L19" t="str">
        <f>IFERROR(INDEX('State-Region Lookup'!$B$2:$B$6,MATCH('Portfolio Data (Modified)'!K19,'State-Region Lookup'!$A$2:$A$6,0)),"Not Mapped")</f>
        <v>South</v>
      </c>
      <c r="M19" t="str">
        <f>IF(F19&lt;&gt;"Active","",VLOOKUP(I19,'Rent Band Table'!$A$2:$B$5,2,TRUE))</f>
        <v>Low</v>
      </c>
      <c r="N19">
        <f>IFERROR(IF(F19="Active",INDEX('Benchmark Rate Card'!$B$2:$G$4,MATCH('Portfolio Data (Modified)'!D19,'Benchmark Rate Card'!$A$2:$A$4,0),MATCH('Portfolio Data (Modified)'!C19,'Benchmark Rate Card'!$B$1:$G$1,0)),""),"")</f>
        <v>47</v>
      </c>
      <c r="O19" s="3" t="s">
        <v>197</v>
      </c>
      <c r="P19" t="s">
        <v>189</v>
      </c>
      <c r="Q19" s="17">
        <f t="shared" si="0"/>
        <v>44.62</v>
      </c>
      <c r="R19" t="str">
        <f>IF(F19="Active",_xlfn.IFS(Q19&gt;N19,"Above Benchmark",Q19&lt;=N19,"At/Below Benchmark"),"")</f>
        <v>At/Below Benchmark</v>
      </c>
      <c r="S19">
        <f ca="1">IFERROR(IF(F19="Active",DATEDIF(TODAY(),H19,"m"),""),"Expired")</f>
        <v>3</v>
      </c>
      <c r="T19" t="str">
        <f t="shared" ca="1" si="1"/>
        <v>Renewal Watch</v>
      </c>
      <c r="U19">
        <f t="shared" si="2"/>
        <v>23</v>
      </c>
      <c r="V19" t="str">
        <f ca="1">IF(F19&lt;&gt;"Active","",_xlfn.IFS(S19="Expired","Urgent",S19&lt;3,"Urgent",S19&lt;12,"Watch",S19&gt;=12,"OK"))</f>
        <v>Watch</v>
      </c>
    </row>
    <row r="20" spans="1:22" x14ac:dyDescent="0.35">
      <c r="A20" s="3" t="s">
        <v>88</v>
      </c>
      <c r="B20" s="3" t="s">
        <v>89</v>
      </c>
      <c r="C20" s="3" t="s">
        <v>52</v>
      </c>
      <c r="D20" s="3" t="s">
        <v>13</v>
      </c>
      <c r="E20" s="3">
        <v>39000</v>
      </c>
      <c r="F20" s="3" t="s">
        <v>14</v>
      </c>
      <c r="G20" s="13" t="s">
        <v>91</v>
      </c>
      <c r="H20" s="13" t="s">
        <v>92</v>
      </c>
      <c r="I20" s="16">
        <v>1560000</v>
      </c>
      <c r="J20">
        <f>COUNTIFS($B$2:$B$28,B20,$C$2:$C$28,C20,$G$2:$G$28,G20)</f>
        <v>1</v>
      </c>
      <c r="K20" s="8" t="str">
        <f>IFERROR(INDEX('City-State Lookup'!$B$2:$B$7,MATCH('Portfolio Data (Modified)'!C20,'City-State Lookup'!$A$2:$A$7,0)),"Not Mapped")</f>
        <v>Maharashtra</v>
      </c>
      <c r="L20" t="str">
        <f>IFERROR(INDEX('State-Region Lookup'!$B$2:$B$6,MATCH('Portfolio Data (Modified)'!K20,'State-Region Lookup'!$A$2:$A$6,0)),"Not Mapped")</f>
        <v>West</v>
      </c>
      <c r="M20" t="str">
        <f>IF(F20&lt;&gt;"Active","",VLOOKUP(I20,'Rent Band Table'!$A$2:$B$5,2,TRUE))</f>
        <v>Medium</v>
      </c>
      <c r="N20">
        <f>IFERROR(IF(F20="Active",INDEX('Benchmark Rate Card'!$B$2:$G$4,MATCH('Portfolio Data (Modified)'!D20,'Benchmark Rate Card'!$A$2:$A$4,0),MATCH('Portfolio Data (Modified)'!C20,'Benchmark Rate Card'!$B$1:$G$1,0)),""),"")</f>
        <v>43</v>
      </c>
      <c r="O20" s="3" t="s">
        <v>198</v>
      </c>
      <c r="P20" t="s">
        <v>199</v>
      </c>
      <c r="Q20" s="17">
        <f t="shared" si="0"/>
        <v>40</v>
      </c>
      <c r="R20" t="str">
        <f>IF(F20="Active",_xlfn.IFS(Q20&gt;N20,"Above Benchmark",Q20&lt;=N20,"At/Below Benchmark"),"")</f>
        <v>At/Below Benchmark</v>
      </c>
      <c r="S20">
        <f ca="1">IFERROR(IF(F20="Active",DATEDIF(TODAY(),H20,"m"),""),"Expired")</f>
        <v>1</v>
      </c>
      <c r="T20" t="str">
        <f t="shared" ca="1" si="1"/>
        <v>Renewal Watch</v>
      </c>
      <c r="U20">
        <f t="shared" si="2"/>
        <v>19</v>
      </c>
      <c r="V20" t="str">
        <f ca="1">IF(F20&lt;&gt;"Active","",_xlfn.IFS(S20="Expired","Urgent",S20&lt;3,"Urgent",S20&lt;12,"Watch",S20&gt;=12,"OK"))</f>
        <v>Urgent</v>
      </c>
    </row>
    <row r="21" spans="1:22" x14ac:dyDescent="0.35">
      <c r="A21" s="3" t="s">
        <v>93</v>
      </c>
      <c r="B21" s="3" t="s">
        <v>89</v>
      </c>
      <c r="C21" s="3" t="s">
        <v>52</v>
      </c>
      <c r="D21" s="3" t="s">
        <v>13</v>
      </c>
      <c r="E21" s="3">
        <v>39000</v>
      </c>
      <c r="F21" s="3" t="s">
        <v>182</v>
      </c>
      <c r="G21" s="13"/>
      <c r="H21" s="13"/>
      <c r="I21" s="16"/>
      <c r="J21">
        <f>COUNTIFS($B$2:$B$28,B21,$C$2:$C$28,C21,$G$2:$G$28,G21)</f>
        <v>0</v>
      </c>
      <c r="K21" s="8" t="str">
        <f>IFERROR(INDEX('City-State Lookup'!$B$2:$B$7,MATCH('Portfolio Data (Modified)'!C21,'City-State Lookup'!$A$2:$A$7,0)),"Not Mapped")</f>
        <v>Maharashtra</v>
      </c>
      <c r="L21" t="str">
        <f>IFERROR(INDEX('State-Region Lookup'!$B$2:$B$6,MATCH('Portfolio Data (Modified)'!K21,'State-Region Lookup'!$A$2:$A$6,0)),"Not Mapped")</f>
        <v>West</v>
      </c>
      <c r="M21" t="str">
        <f>IF(F21&lt;&gt;"Active","",VLOOKUP(I21,'Rent Band Table'!$A$2:$B$5,2,TRUE))</f>
        <v/>
      </c>
      <c r="N21" t="str">
        <f>IFERROR(IF(F21="Active",INDEX('Benchmark Rate Card'!$B$2:$G$4,MATCH('Portfolio Data (Modified)'!D21,'Benchmark Rate Card'!$A$2:$A$4,0),MATCH('Portfolio Data (Modified)'!C21,'Benchmark Rate Card'!$B$1:$G$1,0)),""),"")</f>
        <v/>
      </c>
      <c r="O21" s="3"/>
      <c r="Q21" s="17" t="str">
        <f t="shared" si="0"/>
        <v/>
      </c>
      <c r="R21" t="str">
        <f>IF(F21="Active",_xlfn.IFS(Q21&gt;N21,"Above Benchmark",Q21&lt;=N21,"At/Below Benchmark"),"")</f>
        <v/>
      </c>
      <c r="S21" t="str">
        <f ca="1">IFERROR(IF(F21="Active",DATEDIF(TODAY(),H21,"m"),""),"Expired")</f>
        <v/>
      </c>
      <c r="T21" t="str">
        <f t="shared" ca="1" si="1"/>
        <v/>
      </c>
      <c r="U21" t="str">
        <f t="shared" si="2"/>
        <v/>
      </c>
      <c r="V21" t="str">
        <f>IF(F21&lt;&gt;"Active","",_xlfn.IFS(S21="Expired","Urgent",S21&lt;3,"Urgent",S21&lt;12,"Watch",S21&gt;=12,"OK"))</f>
        <v/>
      </c>
    </row>
    <row r="22" spans="1:22" x14ac:dyDescent="0.35">
      <c r="A22" s="3" t="s">
        <v>94</v>
      </c>
      <c r="B22" s="3" t="s">
        <v>95</v>
      </c>
      <c r="C22" s="3" t="s">
        <v>43</v>
      </c>
      <c r="D22" s="3" t="s">
        <v>44</v>
      </c>
      <c r="E22" s="3">
        <v>98000</v>
      </c>
      <c r="F22" s="3" t="s">
        <v>14</v>
      </c>
      <c r="G22" s="13" t="s">
        <v>97</v>
      </c>
      <c r="H22" s="13" t="s">
        <v>98</v>
      </c>
      <c r="I22" s="16">
        <v>2450000</v>
      </c>
      <c r="J22">
        <f>COUNTIFS($B$2:$B$28,B22,$C$2:$C$28,C22,$G$2:$G$28,G22)</f>
        <v>1</v>
      </c>
      <c r="K22" s="8" t="str">
        <f>IFERROR(INDEX('City-State Lookup'!$B$2:$B$7,MATCH('Portfolio Data (Modified)'!C22,'City-State Lookup'!$A$2:$A$7,0)),"Not Mapped")</f>
        <v>Maharashtra</v>
      </c>
      <c r="L22" t="str">
        <f>IFERROR(INDEX('State-Region Lookup'!$B$2:$B$6,MATCH('Portfolio Data (Modified)'!K22,'State-Region Lookup'!$A$2:$A$6,0)),"Not Mapped")</f>
        <v>West</v>
      </c>
      <c r="M22" t="str">
        <f>IF(F22&lt;&gt;"Active","",VLOOKUP(I22,'Rent Band Table'!$A$2:$B$5,2,TRUE))</f>
        <v>High</v>
      </c>
      <c r="N22">
        <f>IFERROR(IF(F22="Active",INDEX('Benchmark Rate Card'!$B$2:$G$4,MATCH('Portfolio Data (Modified)'!D22,'Benchmark Rate Card'!$A$2:$A$4,0),MATCH('Portfolio Data (Modified)'!C22,'Benchmark Rate Card'!$B$1:$G$1,0)),""),"")</f>
        <v>28</v>
      </c>
      <c r="O22" s="3" t="s">
        <v>200</v>
      </c>
      <c r="P22" t="s">
        <v>191</v>
      </c>
      <c r="Q22" s="17">
        <f t="shared" si="0"/>
        <v>25</v>
      </c>
      <c r="R22" t="str">
        <f>IF(F22="Active",_xlfn.IFS(Q22&gt;N22,"Above Benchmark",Q22&lt;=N22,"At/Below Benchmark"),"")</f>
        <v>At/Below Benchmark</v>
      </c>
      <c r="S22">
        <f ca="1">IFERROR(IF(F22="Active",DATEDIF(TODAY(),H22,"m"),""),"Expired")</f>
        <v>21</v>
      </c>
      <c r="T22" t="str">
        <f t="shared" ca="1" si="1"/>
        <v/>
      </c>
      <c r="U22">
        <f t="shared" si="2"/>
        <v>9</v>
      </c>
      <c r="V22" t="str">
        <f ca="1">IF(F22&lt;&gt;"Active","",_xlfn.IFS(S22="Expired","Urgent",S22&lt;3,"Urgent",S22&lt;12,"Watch",S22&gt;=12,"OK"))</f>
        <v>OK</v>
      </c>
    </row>
    <row r="23" spans="1:22" x14ac:dyDescent="0.35">
      <c r="A23" s="3" t="s">
        <v>99</v>
      </c>
      <c r="B23" s="3" t="s">
        <v>100</v>
      </c>
      <c r="C23" s="3" t="s">
        <v>101</v>
      </c>
      <c r="D23" s="3" t="s">
        <v>13</v>
      </c>
      <c r="E23" s="3">
        <v>44000</v>
      </c>
      <c r="F23" s="3" t="s">
        <v>14</v>
      </c>
      <c r="G23" s="13" t="s">
        <v>103</v>
      </c>
      <c r="H23" s="13" t="s">
        <v>104</v>
      </c>
      <c r="I23" s="16">
        <v>1780000</v>
      </c>
      <c r="J23">
        <f>COUNTIFS($B$2:$B$28,B23,$C$2:$C$28,C23,$G$2:$G$28,G23)</f>
        <v>1</v>
      </c>
      <c r="K23" s="8" t="str">
        <f>IFERROR(INDEX('City-State Lookup'!$B$2:$B$7,MATCH('Portfolio Data (Modified)'!C23,'City-State Lookup'!$A$2:$A$7,0)),"Not Mapped")</f>
        <v>Not Mapped</v>
      </c>
      <c r="L23" t="str">
        <f>IFERROR(INDEX('State-Region Lookup'!$B$2:$B$6,MATCH('Portfolio Data (Modified)'!K23,'State-Region Lookup'!$A$2:$A$6,0)),"Not Mapped")</f>
        <v>Not Mapped</v>
      </c>
      <c r="M23" t="str">
        <f>IF(F23&lt;&gt;"Active","",VLOOKUP(I23,'Rent Band Table'!$A$2:$B$5,2,TRUE))</f>
        <v>Medium</v>
      </c>
      <c r="N23" t="str">
        <f>IFERROR(IF(F23="Active",INDEX('Benchmark Rate Card'!$B$2:$G$4,MATCH('Portfolio Data (Modified)'!D23,'Benchmark Rate Card'!$A$2:$A$4,0),MATCH('Portfolio Data (Modified)'!C23,'Benchmark Rate Card'!$B$1:$G$1,0)),""),"")</f>
        <v/>
      </c>
      <c r="O23" s="3" t="s">
        <v>201</v>
      </c>
      <c r="P23" t="s">
        <v>199</v>
      </c>
      <c r="Q23" s="17">
        <f t="shared" si="0"/>
        <v>40.450000000000003</v>
      </c>
      <c r="R23" t="str">
        <f>IF(F23="Active",_xlfn.IFS(Q23&gt;N23,"Above Benchmark",Q23&lt;=N23,"At/Below Benchmark"),"")</f>
        <v>At/Below Benchmark</v>
      </c>
      <c r="S23">
        <f ca="1">IFERROR(IF(F23="Active",DATEDIF(TODAY(),H23,"m"),""),"Expired")</f>
        <v>7</v>
      </c>
      <c r="T23" t="str">
        <f t="shared" ca="1" si="1"/>
        <v>Renewal Watch</v>
      </c>
      <c r="U23">
        <f t="shared" si="2"/>
        <v>18</v>
      </c>
      <c r="V23" t="str">
        <f ca="1">IF(F23&lt;&gt;"Active","",_xlfn.IFS(S23="Expired","Urgent",S23&lt;3,"Urgent",S23&lt;12,"Watch",S23&gt;=12,"OK"))</f>
        <v>Watch</v>
      </c>
    </row>
    <row r="24" spans="1:22" x14ac:dyDescent="0.35">
      <c r="A24" s="3" t="s">
        <v>105</v>
      </c>
      <c r="B24" s="3" t="s">
        <v>106</v>
      </c>
      <c r="C24" s="3" t="s">
        <v>19</v>
      </c>
      <c r="D24" s="3" t="s">
        <v>13</v>
      </c>
      <c r="E24" s="3">
        <v>59000</v>
      </c>
      <c r="F24" s="3" t="s">
        <v>14</v>
      </c>
      <c r="G24" s="13" t="s">
        <v>108</v>
      </c>
      <c r="H24" s="13" t="s">
        <v>109</v>
      </c>
      <c r="I24" s="16">
        <v>2340000</v>
      </c>
      <c r="J24">
        <f>COUNTIFS($B$2:$B$28,B24,$C$2:$C$28,C24,$G$2:$G$28,G24)</f>
        <v>2</v>
      </c>
      <c r="K24" s="8" t="str">
        <f>IFERROR(INDEX('City-State Lookup'!$B$2:$B$7,MATCH('Portfolio Data (Modified)'!C24,'City-State Lookup'!$A$2:$A$7,0)),"Not Mapped")</f>
        <v>Karnataka</v>
      </c>
      <c r="L24" t="str">
        <f>IFERROR(INDEX('State-Region Lookup'!$B$2:$B$6,MATCH('Portfolio Data (Modified)'!K24,'State-Region Lookup'!$A$2:$A$6,0)),"Not Mapped")</f>
        <v>South</v>
      </c>
      <c r="M24" t="str">
        <f>IF(F24&lt;&gt;"Active","",VLOOKUP(I24,'Rent Band Table'!$A$2:$B$5,2,TRUE))</f>
        <v>High</v>
      </c>
      <c r="N24">
        <f>IFERROR(IF(F24="Active",INDEX('Benchmark Rate Card'!$B$2:$G$4,MATCH('Portfolio Data (Modified)'!D24,'Benchmark Rate Card'!$A$2:$A$4,0),MATCH('Portfolio Data (Modified)'!C24,'Benchmark Rate Card'!$B$1:$G$1,0)),""),"")</f>
        <v>42</v>
      </c>
      <c r="O24" s="3" t="s">
        <v>202</v>
      </c>
      <c r="P24" t="s">
        <v>203</v>
      </c>
      <c r="Q24" s="17">
        <f t="shared" si="0"/>
        <v>39.659999999999997</v>
      </c>
      <c r="R24" t="str">
        <f>IF(F24="Active",_xlfn.IFS(Q24&gt;N24,"Above Benchmark",Q24&lt;=N24,"At/Below Benchmark"),"")</f>
        <v>At/Below Benchmark</v>
      </c>
      <c r="S24">
        <f ca="1">IFERROR(IF(F24="Active",DATEDIF(TODAY(),H24,"m"),""),"Expired")</f>
        <v>1</v>
      </c>
      <c r="T24" t="str">
        <f t="shared" ca="1" si="1"/>
        <v>Renewal Watch</v>
      </c>
      <c r="U24">
        <f t="shared" si="2"/>
        <v>10</v>
      </c>
      <c r="V24" t="str">
        <f ca="1">IF(F24&lt;&gt;"Active","",_xlfn.IFS(S24="Expired","Urgent",S24&lt;3,"Urgent",S24&lt;12,"Watch",S24&gt;=12,"OK"))</f>
        <v>Urgent</v>
      </c>
    </row>
    <row r="25" spans="1:22" x14ac:dyDescent="0.35">
      <c r="A25" s="3" t="s">
        <v>110</v>
      </c>
      <c r="B25" s="3" t="s">
        <v>106</v>
      </c>
      <c r="C25" s="3" t="s">
        <v>19</v>
      </c>
      <c r="D25" s="3" t="s">
        <v>13</v>
      </c>
      <c r="E25" s="3">
        <v>59000</v>
      </c>
      <c r="F25" s="3" t="s">
        <v>14</v>
      </c>
      <c r="G25" s="13" t="s">
        <v>108</v>
      </c>
      <c r="H25" s="13" t="s">
        <v>109</v>
      </c>
      <c r="I25" s="16">
        <v>2340000</v>
      </c>
      <c r="J25">
        <f>COUNTIFS($B$2:$B$28,B25,$C$2:$C$28,C25,$G$2:$G$28,G25)</f>
        <v>2</v>
      </c>
      <c r="K25" s="8" t="str">
        <f>IFERROR(INDEX('City-State Lookup'!$B$2:$B$7,MATCH('Portfolio Data (Modified)'!C25,'City-State Lookup'!$A$2:$A$7,0)),"Not Mapped")</f>
        <v>Karnataka</v>
      </c>
      <c r="L25" t="str">
        <f>IFERROR(INDEX('State-Region Lookup'!$B$2:$B$6,MATCH('Portfolio Data (Modified)'!K25,'State-Region Lookup'!$A$2:$A$6,0)),"Not Mapped")</f>
        <v>South</v>
      </c>
      <c r="M25" t="str">
        <f>IF(F25&lt;&gt;"Active","",VLOOKUP(I25,'Rent Band Table'!$A$2:$B$5,2,TRUE))</f>
        <v>High</v>
      </c>
      <c r="N25">
        <f>IFERROR(IF(F25="Active",INDEX('Benchmark Rate Card'!$B$2:$G$4,MATCH('Portfolio Data (Modified)'!D25,'Benchmark Rate Card'!$A$2:$A$4,0),MATCH('Portfolio Data (Modified)'!C25,'Benchmark Rate Card'!$B$1:$G$1,0)),""),"")</f>
        <v>42</v>
      </c>
      <c r="O25" s="3" t="s">
        <v>202</v>
      </c>
      <c r="P25" t="s">
        <v>203</v>
      </c>
      <c r="Q25" s="17">
        <f t="shared" si="0"/>
        <v>39.659999999999997</v>
      </c>
      <c r="R25" t="str">
        <f>IF(F25="Active",_xlfn.IFS(Q25&gt;N25,"Above Benchmark",Q25&lt;=N25,"At/Below Benchmark"),"")</f>
        <v>At/Below Benchmark</v>
      </c>
      <c r="S25">
        <f ca="1">IFERROR(IF(F25="Active",DATEDIF(TODAY(),H25,"m"),""),"Expired")</f>
        <v>1</v>
      </c>
      <c r="T25" t="str">
        <f t="shared" ca="1" si="1"/>
        <v>Renewal Watch</v>
      </c>
      <c r="U25">
        <f t="shared" si="2"/>
        <v>10</v>
      </c>
      <c r="V25" t="str">
        <f ca="1">IF(F25&lt;&gt;"Active","",_xlfn.IFS(S25="Expired","Urgent",S25&lt;3,"Urgent",S25&lt;12,"Watch",S25&gt;=12,"OK"))</f>
        <v>Urgent</v>
      </c>
    </row>
    <row r="26" spans="1:22" x14ac:dyDescent="0.35">
      <c r="A26" s="3" t="s">
        <v>111</v>
      </c>
      <c r="B26" s="3" t="s">
        <v>112</v>
      </c>
      <c r="C26" s="3" t="s">
        <v>43</v>
      </c>
      <c r="D26" s="3" t="s">
        <v>34</v>
      </c>
      <c r="E26" s="3">
        <v>27500</v>
      </c>
      <c r="F26" s="3" t="s">
        <v>14</v>
      </c>
      <c r="G26" s="13" t="s">
        <v>114</v>
      </c>
      <c r="H26" s="13" t="s">
        <v>115</v>
      </c>
      <c r="I26" s="16">
        <v>1180000</v>
      </c>
      <c r="J26">
        <f>COUNTIFS($B$2:$B$28,B26,$C$2:$C$28,C26,$G$2:$G$28,G26)</f>
        <v>1</v>
      </c>
      <c r="K26" s="8" t="str">
        <f>IFERROR(INDEX('City-State Lookup'!$B$2:$B$7,MATCH('Portfolio Data (Modified)'!C26,'City-State Lookup'!$A$2:$A$7,0)),"Not Mapped")</f>
        <v>Maharashtra</v>
      </c>
      <c r="L26" t="str">
        <f>IFERROR(INDEX('State-Region Lookup'!$B$2:$B$6,MATCH('Portfolio Data (Modified)'!K26,'State-Region Lookup'!$A$2:$A$6,0)),"Not Mapped")</f>
        <v>West</v>
      </c>
      <c r="M26" t="str">
        <f>IF(F26&lt;&gt;"Active","",VLOOKUP(I26,'Rent Band Table'!$A$2:$B$5,2,TRUE))</f>
        <v>Medium</v>
      </c>
      <c r="N26">
        <f>IFERROR(IF(F26="Active",INDEX('Benchmark Rate Card'!$B$2:$G$4,MATCH('Portfolio Data (Modified)'!D26,'Benchmark Rate Card'!$A$2:$A$4,0),MATCH('Portfolio Data (Modified)'!C26,'Benchmark Rate Card'!$B$1:$G$1,0)),""),"")</f>
        <v>58</v>
      </c>
      <c r="O26" s="3" t="s">
        <v>204</v>
      </c>
      <c r="P26" t="s">
        <v>194</v>
      </c>
      <c r="Q26" s="17">
        <f t="shared" si="0"/>
        <v>42.91</v>
      </c>
      <c r="R26" t="str">
        <f>IF(F26="Active",_xlfn.IFS(Q26&gt;N26,"Above Benchmark",Q26&lt;=N26,"At/Below Benchmark"),"")</f>
        <v>At/Below Benchmark</v>
      </c>
      <c r="S26">
        <f ca="1">IFERROR(IF(F26="Active",DATEDIF(TODAY(),H26,"m"),""),"Expired")</f>
        <v>34</v>
      </c>
      <c r="T26" t="str">
        <f t="shared" ca="1" si="1"/>
        <v/>
      </c>
      <c r="U26">
        <f t="shared" si="2"/>
        <v>21</v>
      </c>
      <c r="V26" t="str">
        <f ca="1">IF(F26&lt;&gt;"Active","",_xlfn.IFS(S26="Expired","Urgent",S26&lt;3,"Urgent",S26&lt;12,"Watch",S26&gt;=12,"OK"))</f>
        <v>OK</v>
      </c>
    </row>
    <row r="27" spans="1:22" x14ac:dyDescent="0.35">
      <c r="A27" s="3" t="s">
        <v>116</v>
      </c>
      <c r="B27" s="3" t="s">
        <v>117</v>
      </c>
      <c r="C27" s="3" t="s">
        <v>33</v>
      </c>
      <c r="D27" s="3" t="s">
        <v>44</v>
      </c>
      <c r="E27" s="3">
        <v>87000</v>
      </c>
      <c r="F27" s="3" t="s">
        <v>14</v>
      </c>
      <c r="G27" s="13" t="s">
        <v>119</v>
      </c>
      <c r="H27" s="13" t="s">
        <v>120</v>
      </c>
      <c r="I27" s="16">
        <v>2210000</v>
      </c>
      <c r="J27">
        <f>COUNTIFS($B$2:$B$28,B27,$C$2:$C$28,C27,$G$2:$G$28,G27)</f>
        <v>2</v>
      </c>
      <c r="K27" s="8" t="str">
        <f>IFERROR(INDEX('City-State Lookup'!$B$2:$B$7,MATCH('Portfolio Data (Modified)'!C27,'City-State Lookup'!$A$2:$A$7,0)),"Not Mapped")</f>
        <v>Tamil Nadu</v>
      </c>
      <c r="L27" t="str">
        <f>IFERROR(INDEX('State-Region Lookup'!$B$2:$B$6,MATCH('Portfolio Data (Modified)'!K27,'State-Region Lookup'!$A$2:$A$6,0)),"Not Mapped")</f>
        <v>South</v>
      </c>
      <c r="M27" t="str">
        <f>IF(F27&lt;&gt;"Active","",VLOOKUP(I27,'Rent Band Table'!$A$2:$B$5,2,TRUE))</f>
        <v>High</v>
      </c>
      <c r="N27">
        <f>IFERROR(IF(F27="Active",INDEX('Benchmark Rate Card'!$B$2:$G$4,MATCH('Portfolio Data (Modified)'!D27,'Benchmark Rate Card'!$A$2:$A$4,0),MATCH('Portfolio Data (Modified)'!C27,'Benchmark Rate Card'!$B$1:$G$1,0)),""),"")</f>
        <v>23</v>
      </c>
      <c r="O27" s="3" t="s">
        <v>205</v>
      </c>
      <c r="P27" t="s">
        <v>191</v>
      </c>
      <c r="Q27" s="17">
        <f t="shared" si="0"/>
        <v>25.4</v>
      </c>
      <c r="R27" t="str">
        <f>IF(F27="Active",_xlfn.IFS(Q27&gt;N27,"Above Benchmark",Q27&lt;=N27,"At/Below Benchmark"),"")</f>
        <v>Above Benchmark</v>
      </c>
      <c r="S27" t="str">
        <f ca="1">IFERROR(IF(F27="Active",DATEDIF(TODAY(),H27,"m"),""),"Expired")</f>
        <v>Expired</v>
      </c>
      <c r="T27" t="str">
        <f t="shared" ca="1" si="1"/>
        <v>Renewal Watch</v>
      </c>
      <c r="U27">
        <f t="shared" si="2"/>
        <v>12</v>
      </c>
      <c r="V27" t="str">
        <f ca="1">IF(F27&lt;&gt;"Active","",_xlfn.IFS(S27="Expired","Urgent",S27&lt;3,"Urgent",S27&lt;12,"Watch",S27&gt;=12,"OK"))</f>
        <v>Urgent</v>
      </c>
    </row>
    <row r="28" spans="1:22" x14ac:dyDescent="0.35">
      <c r="A28" s="3" t="s">
        <v>121</v>
      </c>
      <c r="B28" s="3" t="s">
        <v>117</v>
      </c>
      <c r="C28" s="3" t="s">
        <v>33</v>
      </c>
      <c r="D28" s="3" t="s">
        <v>44</v>
      </c>
      <c r="E28" s="3">
        <v>87000</v>
      </c>
      <c r="F28" s="3" t="s">
        <v>14</v>
      </c>
      <c r="G28" s="13" t="s">
        <v>119</v>
      </c>
      <c r="H28" s="13" t="s">
        <v>120</v>
      </c>
      <c r="I28" s="16">
        <v>2210000</v>
      </c>
      <c r="J28">
        <f>COUNTIFS($B$2:$B$28,B28,$C$2:$C$28,C28,$G$2:$G$28,G28)</f>
        <v>2</v>
      </c>
      <c r="K28" s="8" t="str">
        <f>IFERROR(INDEX('City-State Lookup'!$B$2:$B$7,MATCH('Portfolio Data (Modified)'!C28,'City-State Lookup'!$A$2:$A$7,0)),"Not Mapped")</f>
        <v>Tamil Nadu</v>
      </c>
      <c r="L28" t="str">
        <f>IFERROR(INDEX('State-Region Lookup'!$B$2:$B$6,MATCH('Portfolio Data (Modified)'!K28,'State-Region Lookup'!$A$2:$A$6,0)),"Not Mapped")</f>
        <v>South</v>
      </c>
      <c r="M28" t="str">
        <f>IF(F28&lt;&gt;"Active","",VLOOKUP(I28,'Rent Band Table'!$A$2:$B$5,2,TRUE))</f>
        <v>High</v>
      </c>
      <c r="N28">
        <f>IFERROR(IF(F28="Active",INDEX('Benchmark Rate Card'!$B$2:$G$4,MATCH('Portfolio Data (Modified)'!D28,'Benchmark Rate Card'!$A$2:$A$4,0),MATCH('Portfolio Data (Modified)'!C28,'Benchmark Rate Card'!$B$1:$G$1,0)),""),"")</f>
        <v>23</v>
      </c>
      <c r="O28" s="3" t="s">
        <v>205</v>
      </c>
      <c r="P28" t="s">
        <v>191</v>
      </c>
      <c r="Q28" s="17">
        <f t="shared" si="0"/>
        <v>25.4</v>
      </c>
      <c r="R28" t="str">
        <f>IF(F28="Active",_xlfn.IFS(Q28&gt;N28,"Above Benchmark",Q28&lt;=N28,"At/Below Benchmark"),"")</f>
        <v>Above Benchmark</v>
      </c>
      <c r="S28" t="str">
        <f ca="1">IFERROR(IF(F28="Active",DATEDIF(TODAY(),H28,"m"),""),"Expired")</f>
        <v>Expired</v>
      </c>
      <c r="T28" t="str">
        <f t="shared" ca="1" si="1"/>
        <v>Renewal Watch</v>
      </c>
      <c r="U28">
        <f t="shared" si="2"/>
        <v>12</v>
      </c>
      <c r="V28" t="str">
        <f ca="1">IF(F28&lt;&gt;"Active","",_xlfn.IFS(S28="Expired","Urgent",S28&lt;3,"Urgent",S28&lt;12,"Watch",S28&gt;=12,"OK"))</f>
        <v>Urgent</v>
      </c>
    </row>
    <row r="31" spans="1:22" x14ac:dyDescent="0.35">
      <c r="A31" s="11"/>
    </row>
    <row r="32" spans="1:22" x14ac:dyDescent="0.35">
      <c r="A32" s="22" t="s">
        <v>222</v>
      </c>
    </row>
    <row r="33" spans="1:17" s="19" customFormat="1" x14ac:dyDescent="0.35">
      <c r="A33" s="32" t="s">
        <v>2</v>
      </c>
      <c r="B33" s="19" t="s">
        <v>1</v>
      </c>
      <c r="C33" s="19" t="s">
        <v>210</v>
      </c>
      <c r="G33" s="20"/>
      <c r="H33" s="20"/>
      <c r="I33" s="21"/>
      <c r="Q33" s="21"/>
    </row>
    <row r="34" spans="1:17" x14ac:dyDescent="0.35">
      <c r="A34" s="33" t="s">
        <v>19</v>
      </c>
      <c r="B34" t="str">
        <f>INDEX($B$2:$B$28,MATCH(C34,$I$2:$I$28,0))</f>
        <v>Lotus Corporate Park</v>
      </c>
      <c r="C34">
        <f>_xlfn.MAXIFS($I$2:$I$28,$C$2:$C$28,A34,$F$2:$F$28,"Active")</f>
        <v>2340000</v>
      </c>
      <c r="G34"/>
    </row>
    <row r="35" spans="1:17" x14ac:dyDescent="0.35">
      <c r="A35" s="33" t="s">
        <v>28</v>
      </c>
      <c r="B35" t="str">
        <f t="shared" ref="B35:B40" si="3">INDEX($B$2:$B$28,MATCH(C35,$I$2:$I$28,0))</f>
        <v>Zenith IT Campus</v>
      </c>
      <c r="C35">
        <f t="shared" ref="C35:C40" si="4">_xlfn.MAXIFS($I$2:$I$28,$C$2:$C$28,A35,$F$2:$F$28,"Active")</f>
        <v>3120000</v>
      </c>
      <c r="G35"/>
    </row>
    <row r="36" spans="1:17" x14ac:dyDescent="0.35">
      <c r="A36" s="33" t="s">
        <v>33</v>
      </c>
      <c r="B36" t="str">
        <f t="shared" si="3"/>
        <v>Falcon Industrial Estate</v>
      </c>
      <c r="C36">
        <f t="shared" si="4"/>
        <v>2210000</v>
      </c>
      <c r="G36"/>
    </row>
    <row r="37" spans="1:17" x14ac:dyDescent="0.35">
      <c r="A37" s="33" t="s">
        <v>43</v>
      </c>
      <c r="B37" t="str">
        <f t="shared" si="3"/>
        <v>Anchor Point Warehouse</v>
      </c>
      <c r="C37">
        <f t="shared" si="4"/>
        <v>3550000</v>
      </c>
      <c r="G37"/>
    </row>
    <row r="38" spans="1:17" x14ac:dyDescent="0.35">
      <c r="A38" s="33" t="s">
        <v>52</v>
      </c>
      <c r="B38" t="str">
        <f t="shared" si="3"/>
        <v>Silver Oak Tech Park</v>
      </c>
      <c r="C38">
        <f t="shared" si="4"/>
        <v>1890000</v>
      </c>
      <c r="G38"/>
    </row>
    <row r="39" spans="1:17" x14ac:dyDescent="0.35">
      <c r="A39" s="33" t="s">
        <v>66</v>
      </c>
      <c r="B39" t="str">
        <f t="shared" si="3"/>
        <v>Northgate Logistics Hub</v>
      </c>
      <c r="C39">
        <f t="shared" si="4"/>
        <v>2980000</v>
      </c>
      <c r="G39"/>
    </row>
    <row r="40" spans="1:17" x14ac:dyDescent="0.35">
      <c r="A40" s="33" t="s">
        <v>101</v>
      </c>
      <c r="B40" t="str">
        <f t="shared" si="3"/>
        <v>Ashoka Trade Center</v>
      </c>
      <c r="C40">
        <f t="shared" si="4"/>
        <v>1780000</v>
      </c>
      <c r="G40"/>
    </row>
    <row r="42" spans="1:17" ht="43.5" x14ac:dyDescent="0.35">
      <c r="A42" s="32" t="s">
        <v>212</v>
      </c>
      <c r="B42">
        <f>SUMPRODUCT((P2:P28&lt;&gt;"")/COUNTIF(P2:P28,P2:P28&amp;""))</f>
        <v>6.0000000000000009</v>
      </c>
    </row>
    <row r="44" spans="1:17" x14ac:dyDescent="0.35">
      <c r="A44" s="22" t="s">
        <v>213</v>
      </c>
    </row>
    <row r="45" spans="1:17" x14ac:dyDescent="0.35">
      <c r="A45" t="s">
        <v>130</v>
      </c>
      <c r="B45">
        <f>SUMIFS($I$2:$I$28,$L$2:$L$28,"South",$F$2:$F$28,"Active")</f>
        <v>29050000</v>
      </c>
    </row>
    <row r="46" spans="1:17" x14ac:dyDescent="0.35">
      <c r="A46" t="s">
        <v>132</v>
      </c>
      <c r="B46">
        <f t="shared" ref="B46:B47" si="5">SUMIFS($I$2:$I$28,$L$2:$L$28,A46,$F$2:$F$28,"Active")</f>
        <v>5960000</v>
      </c>
    </row>
    <row r="47" spans="1:17" x14ac:dyDescent="0.35">
      <c r="A47" t="s">
        <v>131</v>
      </c>
      <c r="B47">
        <f t="shared" si="5"/>
        <v>16070000</v>
      </c>
    </row>
    <row r="49" spans="1:17" s="22" customFormat="1" x14ac:dyDescent="0.35">
      <c r="A49" s="22" t="s">
        <v>214</v>
      </c>
      <c r="G49" s="23"/>
      <c r="H49" s="23"/>
      <c r="I49" s="24"/>
      <c r="Q49" s="24"/>
    </row>
    <row r="50" spans="1:17" x14ac:dyDescent="0.35">
      <c r="A50" s="3" t="s">
        <v>13</v>
      </c>
      <c r="B50">
        <f>ROUND(AVERAGEIF($D$2:$D$28,A50,$Q$2:$Q$28),2)</f>
        <v>39.9</v>
      </c>
    </row>
    <row r="51" spans="1:17" x14ac:dyDescent="0.35">
      <c r="A51" s="3" t="s">
        <v>34</v>
      </c>
      <c r="B51">
        <f>ROUND(AVERAGEIF($D$2:$D$28,A51,$Q$2:$Q$28),2)</f>
        <v>43.2</v>
      </c>
    </row>
    <row r="52" spans="1:17" x14ac:dyDescent="0.35">
      <c r="A52" s="3" t="s">
        <v>44</v>
      </c>
      <c r="B52">
        <f>ROUND(AVERAGEIF($D$2:$D$28,A52,$Q$2:$Q$28),2)</f>
        <v>25.43</v>
      </c>
    </row>
    <row r="54" spans="1:17" ht="21.5" customHeight="1" x14ac:dyDescent="0.35">
      <c r="A54" s="10"/>
    </row>
    <row r="55" spans="1:17" x14ac:dyDescent="0.35">
      <c r="A55" s="31" t="s">
        <v>215</v>
      </c>
    </row>
    <row r="56" spans="1:17" x14ac:dyDescent="0.35">
      <c r="A56" s="31" t="s">
        <v>2</v>
      </c>
      <c r="B56" s="22" t="s">
        <v>216</v>
      </c>
    </row>
    <row r="57" spans="1:17" x14ac:dyDescent="0.35">
      <c r="A57" s="8" t="s">
        <v>19</v>
      </c>
      <c r="B57" s="26">
        <f>SUMIFS($E$2:$E$28,$C$2:$C$28,A57,$F$2:$F$28,"Active")</f>
        <v>246000</v>
      </c>
    </row>
    <row r="58" spans="1:17" x14ac:dyDescent="0.35">
      <c r="A58" s="3" t="s">
        <v>28</v>
      </c>
      <c r="B58" s="26">
        <f t="shared" ref="B58:B64" si="6">SUMIFS($E$2:$E$28,$C$2:$C$28,A58,$F$2:$F$28,"Active")</f>
        <v>298000</v>
      </c>
      <c r="D58" s="14"/>
      <c r="E58" s="14"/>
      <c r="F58" s="17"/>
      <c r="G58"/>
      <c r="H58" s="9"/>
      <c r="I58"/>
      <c r="K58"/>
      <c r="N58" s="17"/>
      <c r="Q58"/>
    </row>
    <row r="59" spans="1:17" x14ac:dyDescent="0.35">
      <c r="A59" s="3" t="s">
        <v>33</v>
      </c>
      <c r="B59" s="26">
        <f t="shared" si="6"/>
        <v>244000</v>
      </c>
    </row>
    <row r="60" spans="1:17" x14ac:dyDescent="0.35">
      <c r="A60" s="3" t="s">
        <v>43</v>
      </c>
      <c r="B60" s="22">
        <f t="shared" si="6"/>
        <v>415500</v>
      </c>
    </row>
    <row r="61" spans="1:17" x14ac:dyDescent="0.35">
      <c r="A61" s="3" t="s">
        <v>52</v>
      </c>
      <c r="B61" s="26">
        <f t="shared" si="6"/>
        <v>133000</v>
      </c>
    </row>
    <row r="62" spans="1:17" x14ac:dyDescent="0.35">
      <c r="A62" s="3" t="s">
        <v>66</v>
      </c>
      <c r="B62" s="26">
        <f t="shared" si="6"/>
        <v>224000</v>
      </c>
    </row>
    <row r="63" spans="1:17" x14ac:dyDescent="0.35">
      <c r="A63" s="8" t="s">
        <v>101</v>
      </c>
      <c r="B63" s="26">
        <f t="shared" si="6"/>
        <v>44000</v>
      </c>
    </row>
    <row r="64" spans="1:17" x14ac:dyDescent="0.35">
      <c r="A64" s="25" t="s">
        <v>223</v>
      </c>
      <c r="B64" s="22" t="s">
        <v>43</v>
      </c>
    </row>
  </sheetData>
  <conditionalFormatting sqref="T2:T28">
    <cfRule type="containsText" dxfId="0" priority="1" operator="containsText" text="Renewal Watch">
      <formula>NOT(ISERROR(SEARCH("Renewal Watch",T2)))</formula>
    </cfRule>
  </conditionalFormatting>
  <pageMargins left="0.75" right="0.75" top="1" bottom="1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zoomScaleNormal="100" workbookViewId="0">
      <selection activeCell="B10" sqref="B10"/>
    </sheetView>
  </sheetViews>
  <sheetFormatPr defaultColWidth="8.6328125" defaultRowHeight="14.5" x14ac:dyDescent="0.35"/>
  <cols>
    <col min="1" max="1" width="14" customWidth="1"/>
    <col min="2" max="2" width="16" customWidth="1"/>
  </cols>
  <sheetData>
    <row r="1" spans="1:2" x14ac:dyDescent="0.35">
      <c r="A1" s="2" t="s">
        <v>2</v>
      </c>
      <c r="B1" s="2" t="s">
        <v>123</v>
      </c>
    </row>
    <row r="2" spans="1:2" x14ac:dyDescent="0.35">
      <c r="A2" s="3" t="s">
        <v>19</v>
      </c>
      <c r="B2" s="3" t="s">
        <v>124</v>
      </c>
    </row>
    <row r="3" spans="1:2" x14ac:dyDescent="0.35">
      <c r="A3" s="3" t="s">
        <v>28</v>
      </c>
      <c r="B3" s="3" t="s">
        <v>125</v>
      </c>
    </row>
    <row r="4" spans="1:2" x14ac:dyDescent="0.35">
      <c r="A4" s="3" t="s">
        <v>33</v>
      </c>
      <c r="B4" s="3" t="s">
        <v>126</v>
      </c>
    </row>
    <row r="5" spans="1:2" x14ac:dyDescent="0.35">
      <c r="A5" s="3" t="s">
        <v>43</v>
      </c>
      <c r="B5" s="3" t="s">
        <v>127</v>
      </c>
    </row>
    <row r="6" spans="1:2" x14ac:dyDescent="0.35">
      <c r="A6" s="3" t="s">
        <v>52</v>
      </c>
      <c r="B6" s="3" t="s">
        <v>127</v>
      </c>
    </row>
    <row r="7" spans="1:2" x14ac:dyDescent="0.35">
      <c r="A7" s="3" t="s">
        <v>66</v>
      </c>
      <c r="B7" s="3" t="s">
        <v>128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zoomScaleNormal="100" workbookViewId="0">
      <selection activeCell="C2" sqref="C2"/>
    </sheetView>
  </sheetViews>
  <sheetFormatPr defaultColWidth="8.6328125" defaultRowHeight="14.5" x14ac:dyDescent="0.35"/>
  <cols>
    <col min="1" max="1" width="14" customWidth="1"/>
    <col min="2" max="2" width="12" customWidth="1"/>
  </cols>
  <sheetData>
    <row r="1" spans="1:2" x14ac:dyDescent="0.35">
      <c r="A1" s="2" t="s">
        <v>123</v>
      </c>
      <c r="B1" s="2" t="s">
        <v>129</v>
      </c>
    </row>
    <row r="2" spans="1:2" x14ac:dyDescent="0.35">
      <c r="A2" s="3" t="s">
        <v>124</v>
      </c>
      <c r="B2" s="3" t="s">
        <v>130</v>
      </c>
    </row>
    <row r="3" spans="1:2" x14ac:dyDescent="0.35">
      <c r="A3" s="3" t="s">
        <v>125</v>
      </c>
      <c r="B3" s="3" t="s">
        <v>130</v>
      </c>
    </row>
    <row r="4" spans="1:2" x14ac:dyDescent="0.35">
      <c r="A4" s="3" t="s">
        <v>126</v>
      </c>
      <c r="B4" s="3" t="s">
        <v>130</v>
      </c>
    </row>
    <row r="5" spans="1:2" x14ac:dyDescent="0.35">
      <c r="A5" s="3" t="s">
        <v>127</v>
      </c>
      <c r="B5" s="3" t="s">
        <v>131</v>
      </c>
    </row>
    <row r="6" spans="1:2" x14ac:dyDescent="0.35">
      <c r="A6" s="3" t="s">
        <v>128</v>
      </c>
      <c r="B6" s="3" t="s">
        <v>132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zoomScale="142" zoomScaleNormal="100" workbookViewId="0">
      <selection activeCell="A13" sqref="A13"/>
    </sheetView>
  </sheetViews>
  <sheetFormatPr defaultColWidth="8.6328125" defaultRowHeight="14.5" x14ac:dyDescent="0.35"/>
  <cols>
    <col min="1" max="1" width="22" customWidth="1"/>
    <col min="2" max="2" width="12" customWidth="1"/>
  </cols>
  <sheetData>
    <row r="1" spans="1:2" ht="28.5" x14ac:dyDescent="0.35">
      <c r="A1" s="2" t="s">
        <v>133</v>
      </c>
      <c r="B1" s="2" t="s">
        <v>134</v>
      </c>
    </row>
    <row r="2" spans="1:2" x14ac:dyDescent="0.35">
      <c r="A2" s="3">
        <v>0</v>
      </c>
      <c r="B2" s="3" t="s">
        <v>135</v>
      </c>
    </row>
    <row r="3" spans="1:2" x14ac:dyDescent="0.35">
      <c r="A3" s="3">
        <v>1000000</v>
      </c>
      <c r="B3" s="3" t="s">
        <v>136</v>
      </c>
    </row>
    <row r="4" spans="1:2" x14ac:dyDescent="0.35">
      <c r="A4" s="3">
        <v>2000000</v>
      </c>
      <c r="B4" s="3" t="s">
        <v>137</v>
      </c>
    </row>
    <row r="5" spans="1:2" x14ac:dyDescent="0.35">
      <c r="A5" s="3">
        <v>3000000</v>
      </c>
      <c r="B5" s="3" t="s">
        <v>138</v>
      </c>
    </row>
    <row r="7" spans="1:2" x14ac:dyDescent="0.35">
      <c r="A7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"/>
  <sheetViews>
    <sheetView zoomScaleNormal="100" workbookViewId="0">
      <selection activeCell="E12" sqref="E12"/>
    </sheetView>
  </sheetViews>
  <sheetFormatPr defaultColWidth="8.6328125" defaultRowHeight="14.5" x14ac:dyDescent="0.35"/>
  <cols>
    <col min="1" max="7" width="13" customWidth="1"/>
  </cols>
  <sheetData>
    <row r="1" spans="1:7" ht="28.5" x14ac:dyDescent="0.35">
      <c r="A1" s="2" t="s">
        <v>3</v>
      </c>
      <c r="B1" s="2" t="s">
        <v>19</v>
      </c>
      <c r="C1" s="2" t="s">
        <v>28</v>
      </c>
      <c r="D1" s="2" t="s">
        <v>33</v>
      </c>
      <c r="E1" s="2" t="s">
        <v>43</v>
      </c>
      <c r="F1" s="2" t="s">
        <v>52</v>
      </c>
      <c r="G1" s="2" t="s">
        <v>66</v>
      </c>
    </row>
    <row r="2" spans="1:7" x14ac:dyDescent="0.35">
      <c r="A2" s="3" t="s">
        <v>13</v>
      </c>
      <c r="B2" s="3">
        <v>42</v>
      </c>
      <c r="C2" s="3">
        <v>39</v>
      </c>
      <c r="D2" s="3">
        <v>41</v>
      </c>
      <c r="E2" s="3">
        <v>55</v>
      </c>
      <c r="F2" s="3">
        <v>43</v>
      </c>
      <c r="G2" s="3">
        <v>48</v>
      </c>
    </row>
    <row r="3" spans="1:7" x14ac:dyDescent="0.35">
      <c r="A3" s="3" t="s">
        <v>34</v>
      </c>
      <c r="B3" s="3">
        <v>46</v>
      </c>
      <c r="C3" s="3">
        <v>44</v>
      </c>
      <c r="D3" s="3">
        <v>47</v>
      </c>
      <c r="E3" s="3">
        <v>58</v>
      </c>
      <c r="F3" s="3">
        <v>45</v>
      </c>
      <c r="G3" s="3">
        <v>50</v>
      </c>
    </row>
    <row r="4" spans="1:7" x14ac:dyDescent="0.35">
      <c r="A4" s="3" t="s">
        <v>44</v>
      </c>
      <c r="B4" s="3">
        <v>22</v>
      </c>
      <c r="C4" s="3">
        <v>20</v>
      </c>
      <c r="D4" s="3">
        <v>23</v>
      </c>
      <c r="E4" s="3">
        <v>28</v>
      </c>
      <c r="F4" s="3">
        <v>24</v>
      </c>
      <c r="G4" s="3">
        <v>26</v>
      </c>
    </row>
    <row r="6" spans="1:7" x14ac:dyDescent="0.35">
      <c r="A6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8435F-14A4-4758-9C8D-111BB7714080}">
  <dimension ref="A1:B7"/>
  <sheetViews>
    <sheetView workbookViewId="0">
      <selection activeCell="D21" sqref="D21"/>
    </sheetView>
  </sheetViews>
  <sheetFormatPr defaultRowHeight="14.5" x14ac:dyDescent="0.35"/>
  <cols>
    <col min="1" max="1" width="14.90625" bestFit="1" customWidth="1"/>
    <col min="2" max="2" width="27.1796875" bestFit="1" customWidth="1"/>
  </cols>
  <sheetData>
    <row r="1" spans="1:2" s="22" customFormat="1" x14ac:dyDescent="0.35">
      <c r="A1" s="29" t="s">
        <v>129</v>
      </c>
      <c r="B1" s="22" t="s">
        <v>217</v>
      </c>
    </row>
    <row r="3" spans="1:2" x14ac:dyDescent="0.35">
      <c r="A3" s="27" t="s">
        <v>3</v>
      </c>
      <c r="B3" t="s">
        <v>219</v>
      </c>
    </row>
    <row r="4" spans="1:2" x14ac:dyDescent="0.35">
      <c r="A4" s="28" t="s">
        <v>44</v>
      </c>
      <c r="B4" s="17">
        <v>25.425714285714285</v>
      </c>
    </row>
    <row r="5" spans="1:2" x14ac:dyDescent="0.35">
      <c r="A5" s="28" t="s">
        <v>13</v>
      </c>
      <c r="B5" s="17">
        <v>39.895833333333321</v>
      </c>
    </row>
    <row r="6" spans="1:2" x14ac:dyDescent="0.35">
      <c r="A6" s="28" t="s">
        <v>34</v>
      </c>
      <c r="B6" s="17">
        <v>43.195999999999998</v>
      </c>
    </row>
    <row r="7" spans="1:2" x14ac:dyDescent="0.35">
      <c r="A7" s="28" t="s">
        <v>218</v>
      </c>
      <c r="B7" s="17">
        <v>36.362916666666663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Practice Tasks</vt:lpstr>
      <vt:lpstr>Portfolio Data (Raw)</vt:lpstr>
      <vt:lpstr>Portfolio Data (Modified)</vt:lpstr>
      <vt:lpstr>City-State Lookup</vt:lpstr>
      <vt:lpstr>State-Region Lookup</vt:lpstr>
      <vt:lpstr>Rent Band Table</vt:lpstr>
      <vt:lpstr>Benchmark Rate Card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Pravalika Ravalkol</cp:lastModifiedBy>
  <cp:revision>0</cp:revision>
  <dcterms:created xsi:type="dcterms:W3CDTF">2026-09-23T09:43:23Z</dcterms:created>
  <dcterms:modified xsi:type="dcterms:W3CDTF">2026-09-23T18:56:46Z</dcterms:modified>
  <dc:language>en-US</dc:language>
</cp:coreProperties>
</file>